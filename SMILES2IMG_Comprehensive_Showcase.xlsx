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mjuho\Projects\func_SMILES2IMG\"/>
    </mc:Choice>
  </mc:AlternateContent>
  <xr:revisionPtr revIDLastSave="0" documentId="8_{18F5A62B-443F-4590-937C-8E55054465C7}" xr6:coauthVersionLast="47" xr6:coauthVersionMax="47" xr10:uidLastSave="{00000000-0000-0000-0000-000000000000}"/>
  <bookViews>
    <workbookView xWindow="600" yWindow="600" windowWidth="20400" windowHeight="13200" xr2:uid="{59EB6C09-977C-4A6F-9690-9A5D67A5478C}"/>
  </bookViews>
  <sheets>
    <sheet name="SMILES2IMG (In-Cell 365)" sheetId="4" r:id="rId1"/>
    <sheet name="SMILES2IMG.FLOAT (Excel 2016+)" sheetId="3" r:id="rId2"/>
    <sheet name="Complex Natural Products" sheetId="2" r:id="rId3"/>
    <sheet name="Style &amp; Transform Matrix" sheetId="1" r:id="rId4"/>
    <sheet name="__SMILES2IMG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5" i="1" l="1" a="1"/>
  <c r="F13" i="1" a="1"/>
  <c r="F11" i="1" a="1"/>
  <c r="F9" i="1" a="1"/>
  <c r="F8" i="1" a="1"/>
  <c r="F7" i="1" a="1"/>
  <c r="F6" i="1" a="1"/>
  <c r="F4" i="1" a="1"/>
  <c r="G13" i="2" a="1"/>
  <c r="G6" i="2" a="1"/>
  <c r="G15" i="2" a="1"/>
  <c r="G12" i="2" a="1"/>
  <c r="G11" i="2" a="1"/>
  <c r="G10" i="2" a="1"/>
  <c r="G5" i="2" a="1"/>
  <c r="G14" i="2" a="1"/>
  <c r="G9" i="2" a="1"/>
  <c r="G8" i="2" a="1"/>
  <c r="G7" i="2" a="1"/>
  <c r="G4" i="2" a="1"/>
  <c r="F5" i="1" a="1"/>
  <c r="F10" i="1" a="1"/>
  <c r="F12" i="1" a="1"/>
  <c r="F14" i="1" a="1"/>
  <c r="F16" i="1" a="1"/>
  <c r="F17" i="1" a="1"/>
  <c r="F18" i="1" a="1"/>
  <c r="G21" i="4" a="1"/>
  <c r="G17" i="4" a="1"/>
  <c r="G13" i="4" a="1"/>
  <c r="G6" i="4" a="1"/>
  <c r="G4" i="4" a="1"/>
  <c r="G30" i="4" a="1"/>
  <c r="G27" i="4" a="1"/>
  <c r="G26" i="4" a="1"/>
  <c r="G25" i="4" a="1"/>
  <c r="G28" i="4" a="1"/>
  <c r="G24" i="4" a="1"/>
  <c r="G18" i="4" a="1"/>
  <c r="G14" i="4" a="1"/>
  <c r="G5" i="4" a="1"/>
  <c r="G29" i="4" a="1"/>
  <c r="G23" i="4" a="1"/>
  <c r="G22" i="4" a="1"/>
  <c r="G20" i="4" a="1"/>
  <c r="G16" i="4" a="1"/>
  <c r="G10" i="4" a="1"/>
  <c r="G9" i="4" a="1"/>
  <c r="G19" i="4" a="1"/>
  <c r="G15" i="4" a="1"/>
  <c r="G12" i="4" a="1"/>
  <c r="G11" i="4" a="1"/>
  <c r="G8" i="4" a="1"/>
  <c r="G7" i="4" a="1"/>
  <c r="G4" i="3" a="1"/>
  <c r="G5" i="3" a="1"/>
  <c r="G6" i="3" a="1"/>
  <c r="G7" i="3" a="1"/>
  <c r="G8" i="3" a="1"/>
  <c r="G9" i="3" a="1"/>
  <c r="G10" i="3" a="1"/>
  <c r="G11" i="3" a="1"/>
  <c r="G12" i="3" a="1"/>
  <c r="G13" i="3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9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</futureMetadata>
  <cellMetadata count="1">
    <bk>
      <rc t="1" v="0"/>
    </bk>
  </cellMetadata>
  <valueMetadata count="90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</valueMetadata>
</metadata>
</file>

<file path=xl/sharedStrings.xml><?xml version="1.0" encoding="utf-8"?>
<sst xmlns="http://schemas.openxmlformats.org/spreadsheetml/2006/main" count="504" uniqueCount="340">
  <si>
    <t>SMILES2IMG Comprehensive Showcase (Microsoft 365 / Excel 2024 Native In-Cell)</t>
  </si>
  <si>
    <t>No.</t>
  </si>
  <si>
    <t>Category</t>
  </si>
  <si>
    <t>Compound Name</t>
  </si>
  <si>
    <t>Chemical SMILES</t>
  </si>
  <si>
    <t>Applied Option</t>
  </si>
  <si>
    <t>Formula (Text)</t>
  </si>
  <si>
    <t>Molecular Structure (In-Cell)</t>
  </si>
  <si>
    <t>Description &amp; Notes</t>
  </si>
  <si>
    <t>Basic</t>
  </si>
  <si>
    <t>Ethanol</t>
  </si>
  <si>
    <t>CCO</t>
  </si>
  <si>
    <t>Default (Transparent CPK)</t>
  </si>
  <si>
    <t>=SMILES2IMG(D4)</t>
  </si>
  <si>
    <t>Default transparent canvas + elemental CPK coloring</t>
  </si>
  <si>
    <t>Benzene</t>
  </si>
  <si>
    <t>c1ccccc1</t>
  </si>
  <si>
    <t>Default</t>
  </si>
  <si>
    <t>=SMILES2IMG(D5)</t>
  </si>
  <si>
    <t>Automatic Kekul챕 alternating double bond representation</t>
  </si>
  <si>
    <t>Acetone</t>
  </si>
  <si>
    <t>CC(=O)C</t>
  </si>
  <si>
    <t>Inline SMILES Literal</t>
  </si>
  <si>
    <t>=SMILES2IMG("CC(=O)C")</t>
  </si>
  <si>
    <t>Direct string literal input without external cell reference</t>
  </si>
  <si>
    <t>Pyridine</t>
  </si>
  <si>
    <t>c1ccncc1</t>
  </si>
  <si>
    <t>=SMILES2IMG(D7)</t>
  </si>
  <si>
    <t>Nitrogen heterocyclic aromatic ring structure</t>
  </si>
  <si>
    <t>Ibuprofen</t>
  </si>
  <si>
    <t>CC(C)Cc1ccc(cc1)[C@@H](C)C(=O)O</t>
  </si>
  <si>
    <t>=SMILES2IMG(D8)</t>
  </si>
  <si>
    <t>NSAID drug core with asymmetric chiral wedge bond</t>
  </si>
  <si>
    <t>Background</t>
  </si>
  <si>
    <t>Caffeine</t>
  </si>
  <si>
    <t>Cn1cnc2c1c(=O)n(C)c(=O)n2C</t>
  </si>
  <si>
    <t>bg="white"</t>
  </si>
  <si>
    <t>=SMILES2IMG(D9, "white")</t>
  </si>
  <si>
    <t>Opaque pure-white canvas background</t>
  </si>
  <si>
    <t>Paracetamol</t>
  </si>
  <si>
    <t>CC(=O)Nc1ccc(O)cc1</t>
  </si>
  <si>
    <t>bg="cornsilk"</t>
  </si>
  <si>
    <t>=SMILES2IMG(D10, "cornsilk")</t>
  </si>
  <si>
    <t>Standard CSS color name (cornsilk light yellow)</t>
  </si>
  <si>
    <t>Dopamine</t>
  </si>
  <si>
    <t>NCCc1ccc(O)c(O)c1</t>
  </si>
  <si>
    <t>bg="aliceblue"</t>
  </si>
  <si>
    <t>=SMILES2IMG(D11, "aliceblue")</t>
  </si>
  <si>
    <t>Standard CSS color name (aliceblue soft light blue)</t>
  </si>
  <si>
    <t>Serotonin</t>
  </si>
  <si>
    <t>NCCc1c[nH]c2ccc(O)cc12</t>
  </si>
  <si>
    <t>bg="#F0F4F8"</t>
  </si>
  <si>
    <t>=SMILES2IMG(D12, "#F0F4F8")</t>
  </si>
  <si>
    <t>Custom 6-digit Hex background color code</t>
  </si>
  <si>
    <t>Single Style</t>
  </si>
  <si>
    <t>Aspirin</t>
  </si>
  <si>
    <t>CC(=O)Oc1ccccc1C(=O)O</t>
  </si>
  <si>
    <t>style="bw"</t>
  </si>
  <si>
    <t>=SMILES2IMG(D13, , "bw")</t>
  </si>
  <si>
    <t>100% monochrome line art for patent (USPTO/KIPO) &amp; journals</t>
  </si>
  <si>
    <t>L-Lactic Acid</t>
  </si>
  <si>
    <t>C[C@H](O)C(=O)O</t>
  </si>
  <si>
    <t>style="stereo"</t>
  </si>
  <si>
    <t>=SMILES2IMG(D14, , "stereo")</t>
  </si>
  <si>
    <t>Explicit R/S chiral centers and E/Z double-bond stereochemistry</t>
  </si>
  <si>
    <t>style="h"</t>
  </si>
  <si>
    <t>=SMILES2IMG(D15, , "h")</t>
  </si>
  <si>
    <t>Explicit C-H bond lines and hydrogens to inspect steric hindrance</t>
  </si>
  <si>
    <t>style="num"</t>
  </si>
  <si>
    <t>=SMILES2IMG(D16, , "num")</t>
  </si>
  <si>
    <t>Sequential atom indices (1, 2, 3...) for NMR peak assignment</t>
  </si>
  <si>
    <t>style="all-c"</t>
  </si>
  <si>
    <t>=SMILES2IMG(D17, , "all-c")</t>
  </si>
  <si>
    <t>Explicit 'C' label on all skeletal carbons (educational use)</t>
  </si>
  <si>
    <t>style="ink=#003366"</t>
  </si>
  <si>
    <t>=SMILES2IMG(D18, "aliceblue", "ink=#003366")</t>
  </si>
  <si>
    <t>Corporate CI navy bond lines on aliceblue canvas</t>
  </si>
  <si>
    <t>style="white" (Dark)</t>
  </si>
  <si>
    <t>=SMILES2IMG(D19, "#1e1e1e", "white")</t>
  </si>
  <si>
    <t>Pure-white bond lines for dark presentation slides</t>
  </si>
  <si>
    <t>Multi-Style</t>
  </si>
  <si>
    <t>style="bw num" (Space)</t>
  </si>
  <si>
    <t>=SMILES2IMG(D20, , "bw num")</t>
  </si>
  <si>
    <t>Monochrome line art combined with atom index numbering</t>
  </si>
  <si>
    <t>style="bw|stereo" (Pipe)</t>
  </si>
  <si>
    <t>=SMILES2IMG(D21, , "bw|stereo")</t>
  </si>
  <si>
    <t>Pipe (|) delimited monochrome drawing with chiral annotations</t>
  </si>
  <si>
    <t>style="num h" (Space)</t>
  </si>
  <si>
    <t>=SMILES2IMG(D22, , "num h")</t>
  </si>
  <si>
    <t>Combined atom indexing and explicit hydrogens for reaction tracking</t>
  </si>
  <si>
    <t>Nicotine</t>
  </si>
  <si>
    <t>CN1CCC[C@H]1c2cccnc2</t>
  </si>
  <si>
    <t>style="white stereo num h"</t>
  </si>
  <si>
    <t>=SMILES2IMG(D23, "#1a1a1a", "white stereo num h")</t>
  </si>
  <si>
    <t>Dark canvas with pure-white bonds, chiral labels, numbers, and hydrogens</t>
  </si>
  <si>
    <t>Transform</t>
  </si>
  <si>
    <t>transform="flip"</t>
  </si>
  <si>
    <t>=SMILES2IMG(D24, , , "flip")</t>
  </si>
  <si>
    <t>Horizontal reflection matching standard textbook &amp; database layout</t>
  </si>
  <si>
    <t>Cholesterol</t>
  </si>
  <si>
    <t>CC(C)CCCC(C)C1CCC2C1(CCC3C2CC=C4C3(CCC(C4)O)C)C</t>
  </si>
  <si>
    <t>transform="flipy"</t>
  </si>
  <si>
    <t>=SMILES2IMG(D25, , , "flipy")</t>
  </si>
  <si>
    <t>Vertical 2D planar reflection</t>
  </si>
  <si>
    <t>transform="rot90"</t>
  </si>
  <si>
    <t>=SMILES2IMG(D26, , , "rot90")</t>
  </si>
  <si>
    <t>90-deg clockwise rotation for compact vertical column layouts</t>
  </si>
  <si>
    <t>transform="rot180"</t>
  </si>
  <si>
    <t>=SMILES2IMG(D27, , , "rot180")</t>
  </si>
  <si>
    <t>180-deg upside-down rotation</t>
  </si>
  <si>
    <t>transform="flip rot90"</t>
  </si>
  <si>
    <t>=SMILES2IMG(D28, , , "flip rot90")</t>
  </si>
  <si>
    <t>Chained transformation: horizontal flip followed by 90-deg rotation</t>
  </si>
  <si>
    <t>All-in-One</t>
  </si>
  <si>
    <t>White + Full (Space) + Rot</t>
  </si>
  <si>
    <t>=SMILES2IMG(D29, "white", "bw num stereo h all-c", "flip rot90")</t>
  </si>
  <si>
    <t>All features: White canvas + B/W + Atom numbers + Chiral + H + Carbons + Flip + 90-deg rot</t>
  </si>
  <si>
    <t>Penicillin G</t>
  </si>
  <si>
    <t>CC1(C(N2C(S1)C(C2=O)NC(=O)Cc3ccccc3)C(=O)O)C</t>
  </si>
  <si>
    <t>White + Full (Pipe) + Rot</t>
  </si>
  <si>
    <t>=SMILES2IMG(D30, "white", "bw|num|stereo|h|all-c", "flip rot90")</t>
  </si>
  <si>
    <t>Pipe (|) delimited ultimate all-in-one formula activating all capabilities</t>
  </si>
  <si>
    <t>SMILES2IMG.FLOAT Floating Mode Showcase (Excel 2016 / 2019 / 2021 Compatible)</t>
  </si>
  <si>
    <t>Floating Molecular Shape (Over Cell)</t>
  </si>
  <si>
    <t>Features &amp; Behavior</t>
  </si>
  <si>
    <t>=SMILES2IMG.FLOAT(D4)</t>
  </si>
  <si>
    <t>Automatic cell-anchored floating picture on Excel 2016/2019/2021</t>
  </si>
  <si>
    <t>=SMILES2IMG.FLOAT(D5)</t>
  </si>
  <si>
    <t>Linked to cell movement and resizing (xlMoveAndSize)</t>
  </si>
  <si>
    <t>=SMILES2IMG.FLOAT(D6, "white")</t>
  </si>
  <si>
    <t>Opaque white canvas floating shape</t>
  </si>
  <si>
    <t>=SMILES2IMG.FLOAT(D7, , "bw")</t>
  </si>
  <si>
    <t>Monochrome patent line art floating shape for legacy Excel</t>
  </si>
  <si>
    <t>=SMILES2IMG.FLOAT(D8, , "stereo")</t>
  </si>
  <si>
    <t>Chiral R/S stereochemical labels in floating mode</t>
  </si>
  <si>
    <t>=SMILES2IMG.FLOAT(D9, , "h")</t>
  </si>
  <si>
    <t>All C-H hydrogens unfolded in floating mode</t>
  </si>
  <si>
    <t>style="bw num"</t>
  </si>
  <si>
    <t>=SMILES2IMG.FLOAT(D10, , "bw num")</t>
  </si>
  <si>
    <t>Monochrome combined with atom indices in floating mode</t>
  </si>
  <si>
    <t>style="white stereo"</t>
  </si>
  <si>
    <t>=SMILES2IMG.FLOAT(D11, "#1e1e1e", "white stereo")</t>
  </si>
  <si>
    <t>Dark mode canvas with pure-white bonds and chiral labels</t>
  </si>
  <si>
    <t>=SMILES2IMG.FLOAT(D12, , , "flip")</t>
  </si>
  <si>
    <t>Textbook horizontal flip in floating mode</t>
  </si>
  <si>
    <t>=SMILES2IMG.FLOAT(D13, "white", "bw num stereo h all-c", "rot90")</t>
  </si>
  <si>
    <t>Ultimate all-in-one floating molecular rendering on legacy Excel</t>
  </si>
  <si>
    <t>Image</t>
  </si>
  <si>
    <t>Key</t>
  </si>
  <si>
    <t>SMILES</t>
  </si>
  <si>
    <t>C_6E858B26E563E49B4CEB7DB77AEBAED8958FF02E</t>
  </si>
  <si>
    <t>C_5B02A5748FAEE5D648FCDAF68D9AC6490DA9E60A</t>
  </si>
  <si>
    <t>C_BG-aliceblue_D07D4F1587DB549645BF632C9EACF872B41A8E0A</t>
  </si>
  <si>
    <t>C_BG-#f0f4f8_67CC4AAFDB09B97512EEFCC92C399F77E67BAB50</t>
  </si>
  <si>
    <t>Complex Natural Products &amp; Blockbuster Pharmaceuticals Gallery</t>
  </si>
  <si>
    <t>C_H_89B394FD02E5E5E60AE1E167780EA7AB3276288E</t>
  </si>
  <si>
    <t>C_INK-white_BG-#1e1e1e_06563901B12EB9F5F3C51D42BF5ED16A7C9B3E08</t>
  </si>
  <si>
    <t>C_BG-white_6D3D2F1CDA2897FDB220F4E1E87B3BFEB363DF07</t>
  </si>
  <si>
    <t>C_BG-cornsilk_5B63F822890A602408A310D1AF5AA070F306F4BE</t>
  </si>
  <si>
    <t>C_NUM_8448043181B9A6B0A233076FE50A805A66AA244A</t>
  </si>
  <si>
    <t>BW_NUM_06563901B12EB9F5F3C51D42BF5ED16A7C9B3E08</t>
  </si>
  <si>
    <t>C_NUM_H_89B394FD02E5E5E60AE1E167780EA7AB3276288E</t>
  </si>
  <si>
    <t>C_INK-white_NUM_STR_H_BG-#1a1a1a_92E6F1DD547521139488FE5C23520B922D08B4DD</t>
  </si>
  <si>
    <t>BW_NUM_STR_H_CARB_BG-white_TR-flip,rot90_06563901B12EB9F5F3C51D42BF5ED16A7C9B3E08</t>
  </si>
  <si>
    <t>C_8448043181B9A6B0A233076FE50A805A66AA244A</t>
  </si>
  <si>
    <t>C_STR_DE160C4A456EFDF0D807C8FD08A83A371830850D</t>
  </si>
  <si>
    <t>C_INK-#003366_BG-aliceblue_5B02A5748FAEE5D648FCDAF68D9AC6490DA9E60A</t>
  </si>
  <si>
    <t>C_TR-flip_92E6F1DD547521139488FE5C23520B922D08B4DD</t>
  </si>
  <si>
    <t>C_TR-flip,rot90_06563901B12EB9F5F3C51D42BF5ED16A7C9B3E08</t>
  </si>
  <si>
    <t>C_TR-flipy_317ED7E4300976ABF9562C9232023A8FFF8B7D34</t>
  </si>
  <si>
    <t>C_TR-rot90_06563901B12EB9F5F3C51D42BF5ED16A7C9B3E08</t>
  </si>
  <si>
    <t>C_TR-rot180_6D3D2F1CDA2897FDB220F4E1E87B3BFEB363DF07</t>
  </si>
  <si>
    <t>BW_NUM_STR_H_CARB_BG-white_TR-flip,rot90_D3342F1CCC1F59A9DA5DF1EC2ADCBB5D8D22482A</t>
  </si>
  <si>
    <t>C_89B394FD02E5E5E60AE1E167780EA7AB3276288E</t>
  </si>
  <si>
    <t>C_9489A462BE5E1F77C65B323F6F113BA011141BC2</t>
  </si>
  <si>
    <t>BW_06563901B12EB9F5F3C51D42BF5ED16A7C9B3E08</t>
  </si>
  <si>
    <t>C_CARB_9489A462BE5E1F77C65B323F6F113BA011141BC2</t>
  </si>
  <si>
    <t>BW_STR_DE160C4A456EFDF0D807C8FD08A83A371830850D</t>
  </si>
  <si>
    <t>No.</t>
    <phoneticPr fontId="3" type="noConversion"/>
  </si>
  <si>
    <t>Category</t>
    <phoneticPr fontId="3" type="noConversion"/>
  </si>
  <si>
    <t>Compound Name</t>
    <phoneticPr fontId="3" type="noConversion"/>
  </si>
  <si>
    <t>Chemical SMILES</t>
    <phoneticPr fontId="3" type="noConversion"/>
  </si>
  <si>
    <t>Structural Features &amp; Chiral Centers</t>
    <phoneticPr fontId="3" type="noConversion"/>
  </si>
  <si>
    <t>Pharmacology &amp; Significance</t>
  </si>
  <si>
    <t>Antimalarial</t>
  </si>
  <si>
    <t>Artemisinin</t>
  </si>
  <si>
    <t>CC1CC2CC3(C)OO4C(O2)(C1C(=O)O3)C(C)CC4</t>
  </si>
  <si>
    <t>7 chiral centers, endoperoxide bridge</t>
  </si>
  <si>
    <t>=SMILES2IMG(D4, , "stereo")</t>
  </si>
  <si>
    <t>Nobel Prize-winning antimalarial natural product from sweet wormwood</t>
  </si>
  <si>
    <t>Antineoplastic</t>
  </si>
  <si>
    <t>Paclitaxel</t>
  </si>
  <si>
    <t>CC1=C2C(C(=O)C3(C(CC4C(C3C(C(C2(C)C)(CC1OC(=O)C(C(c5ccccc5)NC(=O)c6ccccc6)O)O)OC(=O)c7ccccc7)(CO4)OC(=O)C)O)C)OC(=O)C</t>
  </si>
  <si>
    <t>11 chiral centers, complex polycyclic core</t>
  </si>
  <si>
    <t>Taxus brevifolia bark-derived tubulin inhibitor anticancer blockbuster</t>
  </si>
  <si>
    <t>Biological Sterol</t>
  </si>
  <si>
    <t>8 chiral centers, 4-ring fused steroid core</t>
  </si>
  <si>
    <t>=SMILES2IMG(D6, , "stereo")</t>
  </si>
  <si>
    <t>Cell membrane fluidity regulator and steroid hormone precursor</t>
  </si>
  <si>
    <t>Opioid Analgesic</t>
  </si>
  <si>
    <t>Morphine</t>
  </si>
  <si>
    <t>CN1CC[C@]23[C@@H]4Oc5c3c(CC1[C@@H]2C=C[C@@H]4O)ccc5O</t>
  </si>
  <si>
    <t>5 chiral centers, 5 fused rings</t>
  </si>
  <si>
    <t>=SMILES2IMG(D7, , "stereo")</t>
  </si>
  <si>
    <t>Opium poppy-derived potent central opioid analgesic alkaloid</t>
  </si>
  <si>
    <t>Beta-lactam</t>
  </si>
  <si>
    <t>3 chiral centers, thiazolidine-beta-lactam core</t>
  </si>
  <si>
    <t>=SMILES2IMG(D8, "white", "bw num stereo")</t>
  </si>
  <si>
    <t>Historic broad-spectrum antibiotic rendered in patent style</t>
  </si>
  <si>
    <t>Lipid-Lowering</t>
  </si>
  <si>
    <t>Atorvastatin</t>
  </si>
  <si>
    <t>CC(C)c1c(c(c(c1NC(=O)c2ccccc2)c3ccc(cc3)F)c4ccccc4)CC(O)CC(O)CC(=O)O</t>
  </si>
  <si>
    <t>2 chiral centers, HMG-CoA reductase inhibitor</t>
  </si>
  <si>
    <t>=SMILES2IMG(D9)</t>
  </si>
  <si>
    <t>Top-selling statin blockbuster in pharmaceutical history (Lipitor)</t>
  </si>
  <si>
    <t>Biological Energy</t>
  </si>
  <si>
    <t>ATP</t>
  </si>
  <si>
    <t>Nc1ncnc2n(cnc12)[C@@H]3O[C@H](COP(=O)(O)OP(=O)(O)OP(=O)(O)O)[C@@H](O)[C@H]3O</t>
  </si>
  <si>
    <t>4 chiral centers, triphosphate anhydride</t>
  </si>
  <si>
    <t>=SMILES2IMG(D10)</t>
  </si>
  <si>
    <t>Universal energy currency powering cellular metabolism</t>
  </si>
  <si>
    <t>Antimicrobial</t>
  </si>
  <si>
    <t>Sulfamethoxazole</t>
  </si>
  <si>
    <t>Cc1cc(NS(=O)(=O)c2ccc(N)cc2)no1</t>
  </si>
  <si>
    <t>Isoxazole-containing sulfonamide</t>
  </si>
  <si>
    <t>=SMILES2IMG(D11, , "bw")</t>
  </si>
  <si>
    <t>Folate synthesis inhibitor antibacterial agent for UTI treatment</t>
  </si>
  <si>
    <t>Organic Dye</t>
  </si>
  <si>
    <t>Indigo Dye</t>
  </si>
  <si>
    <t>O=C1C(=C2Nc3ccccc3C2=O)Nc4ccccc14</t>
  </si>
  <si>
    <t>Bis-indoline conjugated chromophore</t>
  </si>
  <si>
    <t>=SMILES2IMG(D12, "aliceblue", "ink=#003366")</t>
  </si>
  <si>
    <t>Classic denim dye rendered in corporate CI ink and canvas</t>
  </si>
  <si>
    <t>Carbohydrate</t>
  </si>
  <si>
    <t>D-Glucose</t>
  </si>
  <si>
    <t>OC[C@H]1OC(O)[C@H](O)[C@@H](O)[C@@H]1O</t>
  </si>
  <si>
    <t>5 chiral centers, pyranose hemiacetal ring</t>
  </si>
  <si>
    <t>=SMILES2IMG(D13, , "stereo num")</t>
  </si>
  <si>
    <t>Primary fuel of cellular respiration in biology &amp; biochemistry</t>
  </si>
  <si>
    <t>Neurotransmitter</t>
  </si>
  <si>
    <t>Catecholamine neurotransmitter</t>
  </si>
  <si>
    <t>=SMILES2IMG(D14, , "num h")</t>
  </si>
  <si>
    <t>Key neurotransmitter in reward pathways and motor control</t>
  </si>
  <si>
    <t>Natural Flavoring</t>
  </si>
  <si>
    <t>Vanillin</t>
  </si>
  <si>
    <t>O=Cc1ccc(O)c(OC)c1</t>
  </si>
  <si>
    <t>Aromatic aldehyde-phenol</t>
  </si>
  <si>
    <t>=SMILES2IMG(D15, , "all-c")</t>
  </si>
  <si>
    <t>Classic phenolic flavor compound from vanilla pods</t>
  </si>
  <si>
    <t>Ref:</t>
  </si>
  <si>
    <t>(Aspirin Reference Molecule)</t>
  </si>
  <si>
    <t>Style &amp; Transform Rendering Options Matrix (Aspirin CC(=O)Oc1ccccc1C(=O)O)</t>
  </si>
  <si>
    <t>Style / Transform Category</t>
  </si>
  <si>
    <t>Delimiter</t>
  </si>
  <si>
    <t>Option String</t>
  </si>
  <si>
    <t>Rendered Structure (In-Cell)</t>
  </si>
  <si>
    <t>Visual Effect &amp; Output Description</t>
  </si>
  <si>
    <t>1. Default Rendering</t>
  </si>
  <si>
    <t>-</t>
  </si>
  <si>
    <t>(default)</t>
  </si>
  <si>
    <t>=SMILES2IMG($B$2)</t>
  </si>
  <si>
    <t>Transparent canvas + CPK elemental coloring</t>
  </si>
  <si>
    <t>2. Black &amp; White Line Art</t>
  </si>
  <si>
    <t>"bw"</t>
  </si>
  <si>
    <t>=SMILES2IMG($B$2, , "bw")</t>
  </si>
  <si>
    <t>100% monochrome line art for patent offices (USPTO/KIPO)</t>
  </si>
  <si>
    <t>3. Sequential Atom Numbers</t>
  </si>
  <si>
    <t>"num"</t>
  </si>
  <si>
    <t>=SMILES2IMG($B$2, , "num")</t>
  </si>
  <si>
    <t>Numbered atom indices (1, 2, 3...) for NMR assignment</t>
  </si>
  <si>
    <t>4. Stereochemical Labels</t>
  </si>
  <si>
    <t>"stereo"</t>
  </si>
  <si>
    <t>=SMILES2IMG($B$2, , "stereo")</t>
  </si>
  <si>
    <t>Chiral R/S centers and geometric E/Z stereolabels</t>
  </si>
  <si>
    <t>5. Unfolded Hydrogens</t>
  </si>
  <si>
    <t>"h"</t>
  </si>
  <si>
    <t>=SMILES2IMG($B$2, , "h")</t>
  </si>
  <si>
    <t>Explicit C-H bond lines displaying all hydrogens</t>
  </si>
  <si>
    <t>6. Skeletal Carbon Labels</t>
  </si>
  <si>
    <t>"all-c"</t>
  </si>
  <si>
    <t>=SMILES2IMG($B$2, , "all-c")</t>
  </si>
  <si>
    <t>Explicit 'C' text at every skeletal vertex</t>
  </si>
  <si>
    <t>7. Dark Mode Pure-White Ink</t>
  </si>
  <si>
    <t>"white"</t>
  </si>
  <si>
    <t>=SMILES2IMG($B$2, "#1e1e1e", "white")</t>
  </si>
  <si>
    <t>Crisp pure-white bond lines against dark cell canvas</t>
  </si>
  <si>
    <t>8. Corporate Custom Ink</t>
  </si>
  <si>
    <t>"ink=#003366"</t>
  </si>
  <si>
    <t>=SMILES2IMG($B$2, "aliceblue", "ink=#003366")</t>
  </si>
  <si>
    <t>Specified Hex color bond ink on aliceblue background</t>
  </si>
  <si>
    <t>9. B/W + Atom Numbers</t>
  </si>
  <si>
    <t>Space</t>
  </si>
  <si>
    <t>"bw num"</t>
  </si>
  <si>
    <t>=SMILES2IMG($B$2, , "bw num")</t>
  </si>
  <si>
    <t>Space-separated monochrome patent line art with numbers</t>
  </si>
  <si>
    <t>10. B/W + Chiral Labels</t>
  </si>
  <si>
    <t>Pipe (|)</t>
  </si>
  <si>
    <t>"bw|stereo"</t>
  </si>
  <si>
    <t>=SMILES2IMG($B$2, , "bw|stereo")</t>
  </si>
  <si>
    <t>Pipe-separated monochrome line art with chiral labels</t>
  </si>
  <si>
    <t>11. Transform: 90-deg CW</t>
  </si>
  <si>
    <t>"rot90"</t>
  </si>
  <si>
    <t>=SMILES2IMG($B$2, , , "rot90")</t>
  </si>
  <si>
    <t>90-deg clockwise rotation for vertical column layouts</t>
  </si>
  <si>
    <t>12. Transform: Horizontal Flip</t>
  </si>
  <si>
    <t>"flip"</t>
  </si>
  <si>
    <t>=SMILES2IMG($B$2, , , "flip")</t>
  </si>
  <si>
    <t>Horizontally flipped matching chemical database conventions</t>
  </si>
  <si>
    <t>13. Transform: Flip + 90-deg</t>
  </si>
  <si>
    <t>"flip rot90"</t>
  </si>
  <si>
    <t>=SMILES2IMG($B$2, , , "flip rot90")</t>
  </si>
  <si>
    <t>Chained flip followed by 90-deg rotation</t>
  </si>
  <si>
    <t>14. Full-Option (Space)</t>
  </si>
  <si>
    <t>"bw num stereo h all-c"</t>
  </si>
  <si>
    <t>=SMILES2IMG($B$2, "white", "bw num stereo h all-c", "flip rot90")</t>
  </si>
  <si>
    <t>All options: White + B/W + Numbers + Chiral + H + Carbons + Flip + 90-deg rot</t>
  </si>
  <si>
    <t>15. Full-Option (Pipe)</t>
  </si>
  <si>
    <t>"bw|num|stereo|h|all-c"</t>
  </si>
  <si>
    <t>=SMILES2IMG($B$2, "white", "bw|num|stereo|h|all-c", "flip rot90")</t>
  </si>
  <si>
    <t>Pipe-delimited ultimate all-in-one formula activating all features</t>
  </si>
  <si>
    <t>C_STR_6A6B5F2BB4BDF2771F1CE26E58033A32C16B3C5F</t>
  </si>
  <si>
    <t>C_STR_23C9F57270A2F362FFC16860B018F3AB87196889</t>
  </si>
  <si>
    <t>BW_NUM_STR_BG-white_D3342F1CCC1F59A9DA5DF1EC2ADCBB5D8D22482A</t>
  </si>
  <si>
    <t>C_780D61D587ABF1588873865410FF9E615AC8704E</t>
  </si>
  <si>
    <t>C_NUM_H_D07D4F1587DB549645BF632C9EACF872B41A8E0A</t>
  </si>
  <si>
    <t>C_0DB567885DD300C3D43907053BBC335F289C88C8</t>
  </si>
  <si>
    <t>C_3DCA0DA53D9C80B4F85E0CA0277254890008BB8C</t>
  </si>
  <si>
    <t>BW_5F4B0C9FAD220E73313D51EE7FA60887B0F6EA72</t>
  </si>
  <si>
    <t>C_INK-#003366_BG-aliceblue_0D8151D8FFF61DF21E65CDDDB3E93965F0C0B9C5</t>
  </si>
  <si>
    <t>C_CARB_915765D1B47430214999A8C9D9E5391CEFF200C0</t>
  </si>
  <si>
    <t>C_STR_317ED7E4300976ABF9562C9232023A8FFF8B7D34</t>
  </si>
  <si>
    <t>C_NUM_STR_CFFDA1B2E82FCDB0E1E710CAD4D5F70DF7A5D74F</t>
  </si>
  <si>
    <t>C_06563901B12EB9F5F3C51D42BF5ED16A7C9B3E08</t>
  </si>
  <si>
    <t>C_NUM_06563901B12EB9F5F3C51D42BF5ED16A7C9B3E08</t>
  </si>
  <si>
    <t>C_STR_06563901B12EB9F5F3C51D42BF5ED16A7C9B3E08</t>
  </si>
  <si>
    <t>C_H_06563901B12EB9F5F3C51D42BF5ED16A7C9B3E08</t>
  </si>
  <si>
    <t>C_CARB_06563901B12EB9F5F3C51D42BF5ED16A7C9B3E08</t>
  </si>
  <si>
    <t>C_INK-#003366_BG-aliceblue_06563901B12EB9F5F3C51D42BF5ED16A7C9B3E08</t>
  </si>
  <si>
    <t>BW_STR_06563901B12EB9F5F3C51D42BF5ED16A7C9B3E08</t>
  </si>
  <si>
    <t>C_TR-flip_06563901B12EB9F5F3C51D42BF5ED16A7C9B3E08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</si>
</sst>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b/>
      <sz val="15"/>
      <color rgb="FFFFFFF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i/>
      <sz val="11"/>
      <color rgb="FF595959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E59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1B4D1B"/>
        <bgColor indexed="64"/>
      </patternFill>
    </fill>
    <fill>
      <patternFill patternType="solid">
        <fgColor rgb="FF228B22"/>
        <bgColor indexed="64"/>
      </patternFill>
    </fill>
    <fill>
      <patternFill patternType="solid">
        <fgColor rgb="FF82004B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FFF2E6"/>
        <bgColor indexed="64"/>
      </patternFill>
    </fill>
    <fill>
      <patternFill patternType="solid">
        <fgColor rgb="FFFF4500"/>
        <bgColor indexed="64"/>
      </patternFill>
    </fill>
    <fill>
      <patternFill patternType="solid">
        <fgColor rgb="FFFF80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49" fontId="0" fillId="0" borderId="0" xfId="0" applyNumberFormat="1">
      <alignment vertical="center"/>
    </xf>
    <xf numFmtId="0" fontId="0" fillId="0" borderId="1" xfId="0" applyFill="1" applyBorder="1">
      <alignment vertical="center"/>
    </xf>
    <xf numFmtId="49" fontId="0" fillId="0" borderId="1" xfId="0" quotePrefix="1" applyNumberFormat="1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8" borderId="0" xfId="0" applyFont="1" applyFill="1" applyAlignment="1">
      <alignment horizontal="center" vertical="center"/>
    </xf>
    <xf numFmtId="0" fontId="5" fillId="0" borderId="0" xfId="0" applyFont="1">
      <alignment vertical="center"/>
    </xf>
    <xf numFmtId="0" fontId="1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3.png"/><Relationship Id="rId3" Type="http://schemas.openxmlformats.org/officeDocument/2006/relationships/image" Target="../media/image48.png"/><Relationship Id="rId7" Type="http://schemas.openxmlformats.org/officeDocument/2006/relationships/image" Target="../media/image52.png"/><Relationship Id="rId2" Type="http://schemas.openxmlformats.org/officeDocument/2006/relationships/image" Target="../media/image47.png"/><Relationship Id="rId1" Type="http://schemas.openxmlformats.org/officeDocument/2006/relationships/image" Target="../media/image46.png"/><Relationship Id="rId6" Type="http://schemas.openxmlformats.org/officeDocument/2006/relationships/image" Target="../media/image51.png"/><Relationship Id="rId5" Type="http://schemas.openxmlformats.org/officeDocument/2006/relationships/image" Target="../media/image50.png"/><Relationship Id="rId10" Type="http://schemas.openxmlformats.org/officeDocument/2006/relationships/image" Target="../media/image55.png"/><Relationship Id="rId4" Type="http://schemas.openxmlformats.org/officeDocument/2006/relationships/image" Target="../media/image49.png"/><Relationship Id="rId9" Type="http://schemas.openxmlformats.org/officeDocument/2006/relationships/image" Target="../media/image5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25400</xdr:colOff>
      <xdr:row>5</xdr:row>
      <xdr:rowOff>64938</xdr:rowOff>
    </xdr:from>
    <xdr:to>
      <xdr:col>6</xdr:col>
      <xdr:colOff>2155825</xdr:colOff>
      <xdr:row>5</xdr:row>
      <xdr:rowOff>1011387</xdr:rowOff>
    </xdr:to>
    <xdr:pic>
      <xdr:nvPicPr>
        <xdr:cNvPr id="3" name="SMILES2IMG.FLOAT_c180364f7710" descr="CC(=O)Nc1ccc(O)cc1" title="SMILES2IMG.FLOAT|C_BG-white_5B63F822890A602408A310D1AF5AA070F306F4BE|2.2509652509652511">
          <a:extLst>
            <a:ext uri="{FF2B5EF4-FFF2-40B4-BE49-F238E27FC236}">
              <a16:creationId xmlns:a16="http://schemas.microsoft.com/office/drawing/2014/main" id="{5D426123-96C8-85B5-8C67-EF81A4879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41150" y="3208188"/>
          <a:ext cx="2130425" cy="946449"/>
        </a:xfrm>
        <a:prstGeom prst="rect">
          <a:avLst/>
        </a:prstGeom>
      </xdr:spPr>
    </xdr:pic>
    <xdr:clientData/>
  </xdr:twoCellAnchor>
  <xdr:twoCellAnchor>
    <xdr:from>
      <xdr:col>6</xdr:col>
      <xdr:colOff>395307</xdr:colOff>
      <xdr:row>7</xdr:row>
      <xdr:rowOff>25400</xdr:rowOff>
    </xdr:from>
    <xdr:to>
      <xdr:col>6</xdr:col>
      <xdr:colOff>1785919</xdr:colOff>
      <xdr:row>7</xdr:row>
      <xdr:rowOff>1050925</xdr:rowOff>
    </xdr:to>
    <xdr:pic>
      <xdr:nvPicPr>
        <xdr:cNvPr id="5" name="SMILES2IMG.FLOAT_bbbc08582157" descr="C[C@H](O)C(=O)O" title="SMILES2IMG.FLOAT|C_STR_DE160C4A456EFDF0D807C8FD08A83A371830850D|1.356">
          <a:extLst>
            <a:ext uri="{FF2B5EF4-FFF2-40B4-BE49-F238E27FC236}">
              <a16:creationId xmlns:a16="http://schemas.microsoft.com/office/drawing/2014/main" id="{C26B0411-3004-050F-F915-BBA46E949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1057" y="5321300"/>
          <a:ext cx="1390612" cy="1025525"/>
        </a:xfrm>
        <a:prstGeom prst="rect">
          <a:avLst/>
        </a:prstGeom>
      </xdr:spPr>
    </xdr:pic>
    <xdr:clientData/>
  </xdr:twoCellAnchor>
  <xdr:twoCellAnchor>
    <xdr:from>
      <xdr:col>6</xdr:col>
      <xdr:colOff>328398</xdr:colOff>
      <xdr:row>8</xdr:row>
      <xdr:rowOff>25400</xdr:rowOff>
    </xdr:from>
    <xdr:to>
      <xdr:col>6</xdr:col>
      <xdr:colOff>1852827</xdr:colOff>
      <xdr:row>8</xdr:row>
      <xdr:rowOff>1050925</xdr:rowOff>
    </xdr:to>
    <xdr:pic>
      <xdr:nvPicPr>
        <xdr:cNvPr id="7" name="SMILES2IMG.FLOAT_46fab6efe456" descr="CCO" title="SMILES2IMG.FLOAT|C_H_89B394FD02E5E5E60AE1E167780EA7AB3276288E|1.4864864864864864">
          <a:extLst>
            <a:ext uri="{FF2B5EF4-FFF2-40B4-BE49-F238E27FC236}">
              <a16:creationId xmlns:a16="http://schemas.microsoft.com/office/drawing/2014/main" id="{3371814C-67B4-9473-5E0E-0B2EBE8A5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44148" y="6397625"/>
          <a:ext cx="1524429" cy="1025525"/>
        </a:xfrm>
        <a:prstGeom prst="rect">
          <a:avLst/>
        </a:prstGeom>
      </xdr:spPr>
    </xdr:pic>
    <xdr:clientData/>
  </xdr:twoCellAnchor>
  <xdr:twoCellAnchor>
    <xdr:from>
      <xdr:col>6</xdr:col>
      <xdr:colOff>25400</xdr:colOff>
      <xdr:row>3</xdr:row>
      <xdr:rowOff>126532</xdr:rowOff>
    </xdr:from>
    <xdr:to>
      <xdr:col>6</xdr:col>
      <xdr:colOff>2155825</xdr:colOff>
      <xdr:row>3</xdr:row>
      <xdr:rowOff>949794</xdr:rowOff>
    </xdr:to>
    <xdr:pic>
      <xdr:nvPicPr>
        <xdr:cNvPr id="9" name="SMILES2IMG.FLOAT_f84e27dc46ed" descr="CCO" title="SMILES2IMG.FLOAT|C_89B394FD02E5E5E60AE1E167780EA7AB3276288E|2.5877862595419847">
          <a:extLst>
            <a:ext uri="{FF2B5EF4-FFF2-40B4-BE49-F238E27FC236}">
              <a16:creationId xmlns:a16="http://schemas.microsoft.com/office/drawing/2014/main" id="{5894708D-4AEC-27FF-11C2-FFAAA8BC8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41150" y="1117132"/>
          <a:ext cx="2130425" cy="823262"/>
        </a:xfrm>
        <a:prstGeom prst="rect">
          <a:avLst/>
        </a:prstGeom>
      </xdr:spPr>
    </xdr:pic>
    <xdr:clientData/>
  </xdr:twoCellAnchor>
  <xdr:twoCellAnchor>
    <xdr:from>
      <xdr:col>6</xdr:col>
      <xdr:colOff>385040</xdr:colOff>
      <xdr:row>6</xdr:row>
      <xdr:rowOff>25400</xdr:rowOff>
    </xdr:from>
    <xdr:to>
      <xdr:col>6</xdr:col>
      <xdr:colOff>1796185</xdr:colOff>
      <xdr:row>6</xdr:row>
      <xdr:rowOff>1050925</xdr:rowOff>
    </xdr:to>
    <xdr:pic>
      <xdr:nvPicPr>
        <xdr:cNvPr id="11" name="SMILES2IMG.FLOAT_ff104e3067a2" descr="CC(=O)Oc1ccccc1C(=O)O" title="SMILES2IMG.FLOAT|BW_06563901B12EB9F5F3C51D42BF5ED16A7C9B3E08|1.3760217983651226">
          <a:extLst>
            <a:ext uri="{FF2B5EF4-FFF2-40B4-BE49-F238E27FC236}">
              <a16:creationId xmlns:a16="http://schemas.microsoft.com/office/drawing/2014/main" id="{97EB6E9C-E085-BB93-0A13-5A2E95964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00790" y="4244975"/>
          <a:ext cx="1411145" cy="1025525"/>
        </a:xfrm>
        <a:prstGeom prst="rect">
          <a:avLst/>
        </a:prstGeom>
      </xdr:spPr>
    </xdr:pic>
    <xdr:clientData/>
  </xdr:twoCellAnchor>
  <xdr:twoCellAnchor>
    <xdr:from>
      <xdr:col>6</xdr:col>
      <xdr:colOff>362733</xdr:colOff>
      <xdr:row>9</xdr:row>
      <xdr:rowOff>25400</xdr:rowOff>
    </xdr:from>
    <xdr:to>
      <xdr:col>6</xdr:col>
      <xdr:colOff>1818491</xdr:colOff>
      <xdr:row>9</xdr:row>
      <xdr:rowOff>1050925</xdr:rowOff>
    </xdr:to>
    <xdr:pic>
      <xdr:nvPicPr>
        <xdr:cNvPr id="13" name="SMILES2IMG.FLOAT_e82749dc912b" descr="CC(=O)Oc1ccccc1C(=O)O" title="SMILES2IMG.FLOAT|BW_NUM_06563901B12EB9F5F3C51D42BF5ED16A7C9B3E08|1.4195250659630607">
          <a:extLst>
            <a:ext uri="{FF2B5EF4-FFF2-40B4-BE49-F238E27FC236}">
              <a16:creationId xmlns:a16="http://schemas.microsoft.com/office/drawing/2014/main" id="{D952FB35-BDEA-38A8-756C-239D8B718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78483" y="7473950"/>
          <a:ext cx="1455758" cy="1025525"/>
        </a:xfrm>
        <a:prstGeom prst="rect">
          <a:avLst/>
        </a:prstGeom>
      </xdr:spPr>
    </xdr:pic>
    <xdr:clientData/>
  </xdr:twoCellAnchor>
  <xdr:twoCellAnchor>
    <xdr:from>
      <xdr:col>6</xdr:col>
      <xdr:colOff>363205</xdr:colOff>
      <xdr:row>10</xdr:row>
      <xdr:rowOff>25400</xdr:rowOff>
    </xdr:from>
    <xdr:to>
      <xdr:col>6</xdr:col>
      <xdr:colOff>1818019</xdr:colOff>
      <xdr:row>10</xdr:row>
      <xdr:rowOff>1050925</xdr:rowOff>
    </xdr:to>
    <xdr:pic>
      <xdr:nvPicPr>
        <xdr:cNvPr id="15" name="SMILES2IMG.FLOAT_3229c5faf054" descr="CN1CCC[C@H]1c2cccnc2" title="SMILES2IMG.FLOAT|C_INK-white_STR_BG-#1e1e1e_92E6F1DD547521139488FE5C23520B922D08B4DD|1.4186046511627908">
          <a:extLst>
            <a:ext uri="{FF2B5EF4-FFF2-40B4-BE49-F238E27FC236}">
              <a16:creationId xmlns:a16="http://schemas.microsoft.com/office/drawing/2014/main" id="{1AEC588A-2BC6-45D7-8435-2F7069F8A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78955" y="8550275"/>
          <a:ext cx="1454814" cy="1025525"/>
        </a:xfrm>
        <a:prstGeom prst="rect">
          <a:avLst/>
        </a:prstGeom>
      </xdr:spPr>
    </xdr:pic>
    <xdr:clientData/>
  </xdr:twoCellAnchor>
  <xdr:twoCellAnchor>
    <xdr:from>
      <xdr:col>6</xdr:col>
      <xdr:colOff>349577</xdr:colOff>
      <xdr:row>11</xdr:row>
      <xdr:rowOff>25400</xdr:rowOff>
    </xdr:from>
    <xdr:to>
      <xdr:col>6</xdr:col>
      <xdr:colOff>1831648</xdr:colOff>
      <xdr:row>11</xdr:row>
      <xdr:rowOff>1050925</xdr:rowOff>
    </xdr:to>
    <xdr:pic>
      <xdr:nvPicPr>
        <xdr:cNvPr id="17" name="SMILES2IMG.FLOAT_3425e2ef46c8" descr="CN1CCC[C@H]1c2cccnc2" title="SMILES2IMG.FLOAT|C_TR-flip_92E6F1DD547521139488FE5C23520B922D08B4DD|1.4451827242524917">
          <a:extLst>
            <a:ext uri="{FF2B5EF4-FFF2-40B4-BE49-F238E27FC236}">
              <a16:creationId xmlns:a16="http://schemas.microsoft.com/office/drawing/2014/main" id="{EA7781DA-BC6A-1BA1-13A5-D765DB9D8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65327" y="9626600"/>
          <a:ext cx="1482071" cy="1025525"/>
        </a:xfrm>
        <a:prstGeom prst="rect">
          <a:avLst/>
        </a:prstGeom>
      </xdr:spPr>
    </xdr:pic>
    <xdr:clientData/>
  </xdr:twoCellAnchor>
  <xdr:twoCellAnchor>
    <xdr:from>
      <xdr:col>6</xdr:col>
      <xdr:colOff>387024</xdr:colOff>
      <xdr:row>4</xdr:row>
      <xdr:rowOff>25400</xdr:rowOff>
    </xdr:from>
    <xdr:to>
      <xdr:col>6</xdr:col>
      <xdr:colOff>1794200</xdr:colOff>
      <xdr:row>4</xdr:row>
      <xdr:rowOff>1050925</xdr:rowOff>
    </xdr:to>
    <xdr:pic>
      <xdr:nvPicPr>
        <xdr:cNvPr id="19" name="SMILES2IMG.FLOAT_92071165637e" descr="Cn1cnc2c1c(=O)n(C)c(=O)n2C" title="SMILES2IMG.FLOAT|C_6D3D2F1CDA2897FDB220F4E1E87B3BFEB363DF07|1.3721518987341772">
          <a:extLst>
            <a:ext uri="{FF2B5EF4-FFF2-40B4-BE49-F238E27FC236}">
              <a16:creationId xmlns:a16="http://schemas.microsoft.com/office/drawing/2014/main" id="{11D90F76-0C2E-DC99-9C5F-E94D03302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02774" y="2092325"/>
          <a:ext cx="1407176" cy="1025525"/>
        </a:xfrm>
        <a:prstGeom prst="rect">
          <a:avLst/>
        </a:prstGeom>
      </xdr:spPr>
    </xdr:pic>
    <xdr:clientData/>
  </xdr:twoCellAnchor>
  <xdr:twoCellAnchor>
    <xdr:from>
      <xdr:col>6</xdr:col>
      <xdr:colOff>625508</xdr:colOff>
      <xdr:row>12</xdr:row>
      <xdr:rowOff>25400</xdr:rowOff>
    </xdr:from>
    <xdr:to>
      <xdr:col>6</xdr:col>
      <xdr:colOff>1555717</xdr:colOff>
      <xdr:row>12</xdr:row>
      <xdr:rowOff>1050925</xdr:rowOff>
    </xdr:to>
    <xdr:pic>
      <xdr:nvPicPr>
        <xdr:cNvPr id="21" name="SMILES2IMG.FLOAT_1e65a3e7df93" descr="CC(=O)Oc1ccccc1C(=O)O" title="SMILES2IMG.FLOAT|BW_NUM_STR_H_CARB_BG-white_TR-rot90_06563901B12EB9F5F3C51D42BF5ED16A7C9B3E08|0.90705679862306365">
          <a:extLst>
            <a:ext uri="{FF2B5EF4-FFF2-40B4-BE49-F238E27FC236}">
              <a16:creationId xmlns:a16="http://schemas.microsoft.com/office/drawing/2014/main" id="{811A17CB-821E-8C89-E6D0-73EEAC48B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41258" y="10702925"/>
          <a:ext cx="930209" cy="1025525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90">
  <rv s="0">
    <v>0</v>
    <v>4</v>
  </rv>
  <rv s="0">
    <v>1</v>
    <v>4</v>
  </rv>
  <rv s="0">
    <v>2</v>
    <v>4</v>
  </rv>
  <rv s="0">
    <v>3</v>
    <v>4</v>
  </rv>
  <rv s="0">
    <v>4</v>
    <v>4</v>
  </rv>
  <rv s="0">
    <v>5</v>
    <v>4</v>
  </rv>
  <rv s="0">
    <v>6</v>
    <v>4</v>
  </rv>
  <rv s="0">
    <v>7</v>
    <v>4</v>
  </rv>
  <rv s="0">
    <v>8</v>
    <v>4</v>
  </rv>
  <rv s="0">
    <v>9</v>
    <v>4</v>
  </rv>
  <rv s="0">
    <v>10</v>
    <v>4</v>
  </rv>
  <rv s="0">
    <v>11</v>
    <v>4</v>
  </rv>
  <rv s="0">
    <v>12</v>
    <v>4</v>
  </rv>
  <rv s="0">
    <v>13</v>
    <v>4</v>
  </rv>
  <rv s="0">
    <v>14</v>
    <v>4</v>
  </rv>
  <rv s="0">
    <v>15</v>
    <v>4</v>
  </rv>
  <rv s="0">
    <v>16</v>
    <v>4</v>
  </rv>
  <rv s="0">
    <v>17</v>
    <v>4</v>
  </rv>
  <rv s="0">
    <v>18</v>
    <v>4</v>
  </rv>
  <rv s="0">
    <v>19</v>
    <v>4</v>
  </rv>
  <rv s="0">
    <v>20</v>
    <v>4</v>
  </rv>
  <rv s="0">
    <v>21</v>
    <v>4</v>
  </rv>
  <rv s="0">
    <v>22</v>
    <v>4</v>
  </rv>
  <rv s="0">
    <v>23</v>
    <v>4</v>
  </rv>
  <rv s="0">
    <v>24</v>
    <v>4</v>
  </rv>
  <rv s="0">
    <v>25</v>
    <v>4</v>
  </rv>
  <rv s="0">
    <v>26</v>
    <v>4</v>
  </rv>
  <rv s="0">
    <v>27</v>
    <v>4</v>
  </rv>
  <rv s="0">
    <v>28</v>
    <v>4</v>
  </rv>
  <rv s="0">
    <v>29</v>
    <v>4</v>
  </rv>
  <rv s="0">
    <v>30</v>
    <v>4</v>
  </rv>
  <rv s="0">
    <v>31</v>
    <v>4</v>
  </rv>
  <rv s="0">
    <v>32</v>
    <v>4</v>
  </rv>
  <rv s="0">
    <v>33</v>
    <v>4</v>
  </rv>
  <rv s="0">
    <v>34</v>
    <v>4</v>
  </rv>
  <rv s="0">
    <v>35</v>
    <v>4</v>
  </rv>
  <rv s="0">
    <v>36</v>
    <v>4</v>
  </rv>
  <rv s="0">
    <v>37</v>
    <v>4</v>
  </rv>
  <rv s="0">
    <v>38</v>
    <v>4</v>
  </rv>
  <rv s="0">
    <v>39</v>
    <v>4</v>
  </rv>
  <rv s="0">
    <v>40</v>
    <v>4</v>
  </rv>
  <rv s="0">
    <v>41</v>
    <v>4</v>
  </rv>
  <rv s="0">
    <v>42</v>
    <v>4</v>
  </rv>
  <rv s="0">
    <v>43</v>
    <v>4</v>
  </rv>
  <rv s="0">
    <v>44</v>
    <v>4</v>
  </rv>
  <rv s="0">
    <v>3</v>
    <v>5</v>
  </rv>
  <rv s="0">
    <v>4</v>
    <v>5</v>
  </rv>
  <rv s="0">
    <v>7</v>
    <v>5</v>
  </rv>
  <rv s="0">
    <v>8</v>
    <v>5</v>
  </rv>
  <rv s="0">
    <v>11</v>
    <v>5</v>
  </rv>
  <rv s="0">
    <v>15</v>
    <v>5</v>
  </rv>
  <rv s="0">
    <v>5</v>
    <v>5</v>
  </rv>
  <rv s="0">
    <v>6</v>
    <v>5</v>
  </rv>
  <rv s="0">
    <v>12</v>
    <v>5</v>
  </rv>
  <rv s="0">
    <v>16</v>
    <v>5</v>
  </rv>
  <rv s="0">
    <v>18</v>
    <v>5</v>
  </rv>
  <rv s="0">
    <v>19</v>
    <v>5</v>
  </rv>
  <rv s="0">
    <v>25</v>
    <v>5</v>
  </rv>
  <rv s="0">
    <v>1</v>
    <v>5</v>
  </rv>
  <rv s="0">
    <v>10</v>
    <v>5</v>
  </rv>
  <rv s="0">
    <v>14</v>
    <v>5</v>
  </rv>
  <rv s="0">
    <v>20</v>
    <v>5</v>
  </rv>
  <rv s="0">
    <v>24</v>
    <v>5</v>
  </rv>
  <rv s="0">
    <v>21</v>
    <v>5</v>
  </rv>
  <rv s="0">
    <v>22</v>
    <v>5</v>
  </rv>
  <rv s="0">
    <v>23</v>
    <v>5</v>
  </rv>
  <rv s="0">
    <v>26</v>
    <v>5</v>
  </rv>
  <rv s="0">
    <v>0</v>
    <v>5</v>
  </rv>
  <rv s="0">
    <v>2</v>
    <v>5</v>
  </rv>
  <rv s="0">
    <v>9</v>
    <v>5</v>
  </rv>
  <rv s="0">
    <v>13</v>
    <v>5</v>
  </rv>
  <rv s="0">
    <v>17</v>
    <v>5</v>
  </rv>
  <rv s="0">
    <v>27</v>
    <v>5</v>
  </rv>
  <rv s="0">
    <v>30</v>
    <v>5</v>
  </rv>
  <rv s="0">
    <v>31</v>
    <v>5</v>
  </rv>
  <rv s="0">
    <v>32</v>
    <v>5</v>
  </rv>
  <rv s="0">
    <v>37</v>
    <v>5</v>
  </rv>
  <rv s="0">
    <v>28</v>
    <v>5</v>
  </rv>
  <rv s="0">
    <v>33</v>
    <v>5</v>
  </rv>
  <rv s="0">
    <v>34</v>
    <v>5</v>
  </rv>
  <rv s="0">
    <v>35</v>
    <v>5</v>
  </rv>
  <rv s="0">
    <v>38</v>
    <v>5</v>
  </rv>
  <rv s="0">
    <v>29</v>
    <v>5</v>
  </rv>
  <rv s="0">
    <v>36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</richValueRel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B989C-7A5C-4291-8BD9-28685BE168BE}">
  <sheetPr>
    <tabColor rgb="FF0070D9"/>
  </sheetPr>
  <dimension ref="A1:H30"/>
  <sheetViews>
    <sheetView tabSelected="1" workbookViewId="0">
      <selection sqref="A1:H1"/>
    </sheetView>
  </sheetViews>
  <sheetFormatPr defaultRowHeight="16.5" x14ac:dyDescent="0.3"/>
  <cols>
    <col min="1" max="1" width="6.625" customWidth="1"/>
    <col min="2" max="2" width="16.625" customWidth="1"/>
    <col min="3" max="3" width="22.625" customWidth="1"/>
    <col min="4" max="4" width="32.625" customWidth="1"/>
    <col min="5" max="5" width="26.625" customWidth="1"/>
    <col min="6" max="6" width="48.625" customWidth="1"/>
    <col min="7" max="7" width="28.625" customWidth="1"/>
    <col min="8" max="8" width="48.625" customWidth="1"/>
  </cols>
  <sheetData>
    <row r="1" spans="1:8" ht="36" customHeight="1" x14ac:dyDescent="0.3">
      <c r="A1" s="1" t="s">
        <v>0</v>
      </c>
      <c r="B1" s="1"/>
      <c r="C1" s="1"/>
      <c r="D1" s="1"/>
      <c r="E1" s="1"/>
      <c r="F1" s="1"/>
      <c r="G1" s="1"/>
      <c r="H1" s="1"/>
    </row>
    <row r="3" spans="1:8" ht="26.1" customHeigh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ht="84.95" customHeight="1" x14ac:dyDescent="0.3">
      <c r="A4" s="6">
        <v>1</v>
      </c>
      <c r="B4" s="6" t="s">
        <v>9</v>
      </c>
      <c r="C4" s="4" t="s">
        <v>10</v>
      </c>
      <c r="D4" s="4" t="s">
        <v>11</v>
      </c>
      <c r="E4" s="4" t="s">
        <v>12</v>
      </c>
      <c r="F4" s="5" t="s">
        <v>13</v>
      </c>
      <c r="G4" s="6" t="e" cm="1" vm="1">
        <f t="array" ref="G4">_xll.SMILES2IMG(D4)</f>
        <v>#VALUE!</v>
      </c>
      <c r="H4" s="4" t="s">
        <v>14</v>
      </c>
    </row>
    <row r="5" spans="1:8" ht="84.95" customHeight="1" x14ac:dyDescent="0.3">
      <c r="A5" s="6">
        <v>2</v>
      </c>
      <c r="B5" s="6" t="s">
        <v>9</v>
      </c>
      <c r="C5" s="4" t="s">
        <v>15</v>
      </c>
      <c r="D5" s="4" t="s">
        <v>16</v>
      </c>
      <c r="E5" s="4" t="s">
        <v>17</v>
      </c>
      <c r="F5" s="5" t="s">
        <v>18</v>
      </c>
      <c r="G5" s="6" t="e" cm="1" vm="2">
        <f t="array" ref="G5">_xll.SMILES2IMG(D5)</f>
        <v>#VALUE!</v>
      </c>
      <c r="H5" s="4" t="s">
        <v>19</v>
      </c>
    </row>
    <row r="6" spans="1:8" ht="84.95" customHeight="1" x14ac:dyDescent="0.3">
      <c r="A6" s="6">
        <v>3</v>
      </c>
      <c r="B6" s="6" t="s">
        <v>9</v>
      </c>
      <c r="C6" s="4" t="s">
        <v>20</v>
      </c>
      <c r="D6" s="4" t="s">
        <v>21</v>
      </c>
      <c r="E6" s="4" t="s">
        <v>22</v>
      </c>
      <c r="F6" s="5" t="s">
        <v>23</v>
      </c>
      <c r="G6" s="6" t="e" cm="1" vm="3">
        <f t="array" ref="G6">_xll.SMILES2IMG("CC(=O)C")</f>
        <v>#VALUE!</v>
      </c>
      <c r="H6" s="4" t="s">
        <v>24</v>
      </c>
    </row>
    <row r="7" spans="1:8" ht="84.95" customHeight="1" x14ac:dyDescent="0.3">
      <c r="A7" s="6">
        <v>4</v>
      </c>
      <c r="B7" s="6" t="s">
        <v>9</v>
      </c>
      <c r="C7" s="4" t="s">
        <v>25</v>
      </c>
      <c r="D7" s="4" t="s">
        <v>26</v>
      </c>
      <c r="E7" s="4" t="s">
        <v>17</v>
      </c>
      <c r="F7" s="5" t="s">
        <v>27</v>
      </c>
      <c r="G7" s="6" t="e" cm="1" vm="4">
        <f t="array" ref="G7">_xll.SMILES2IMG(D7)</f>
        <v>#VALUE!</v>
      </c>
      <c r="H7" s="4" t="s">
        <v>28</v>
      </c>
    </row>
    <row r="8" spans="1:8" ht="84.95" customHeight="1" x14ac:dyDescent="0.3">
      <c r="A8" s="6">
        <v>5</v>
      </c>
      <c r="B8" s="6" t="s">
        <v>9</v>
      </c>
      <c r="C8" s="4" t="s">
        <v>29</v>
      </c>
      <c r="D8" s="4" t="s">
        <v>30</v>
      </c>
      <c r="E8" s="4" t="s">
        <v>17</v>
      </c>
      <c r="F8" s="5" t="s">
        <v>31</v>
      </c>
      <c r="G8" s="6" t="e" cm="1" vm="5">
        <f t="array" ref="G8">_xll.SMILES2IMG(D8)</f>
        <v>#VALUE!</v>
      </c>
      <c r="H8" s="4" t="s">
        <v>32</v>
      </c>
    </row>
    <row r="9" spans="1:8" ht="84.95" customHeight="1" x14ac:dyDescent="0.3">
      <c r="A9" s="6">
        <v>6</v>
      </c>
      <c r="B9" s="6" t="s">
        <v>33</v>
      </c>
      <c r="C9" s="4" t="s">
        <v>34</v>
      </c>
      <c r="D9" s="4" t="s">
        <v>35</v>
      </c>
      <c r="E9" s="4" t="s">
        <v>36</v>
      </c>
      <c r="F9" s="5" t="s">
        <v>37</v>
      </c>
      <c r="G9" s="6" t="e" cm="1" vm="6">
        <f t="array" ref="G9">_xll.SMILES2IMG(D9, "white")</f>
        <v>#VALUE!</v>
      </c>
      <c r="H9" s="4" t="s">
        <v>38</v>
      </c>
    </row>
    <row r="10" spans="1:8" ht="84.95" customHeight="1" x14ac:dyDescent="0.3">
      <c r="A10" s="6">
        <v>7</v>
      </c>
      <c r="B10" s="6" t="s">
        <v>33</v>
      </c>
      <c r="C10" s="4" t="s">
        <v>39</v>
      </c>
      <c r="D10" s="4" t="s">
        <v>40</v>
      </c>
      <c r="E10" s="4" t="s">
        <v>41</v>
      </c>
      <c r="F10" s="5" t="s">
        <v>42</v>
      </c>
      <c r="G10" s="6" t="e" cm="1" vm="7">
        <f t="array" ref="G10">_xll.SMILES2IMG(D10, "cornsilk")</f>
        <v>#VALUE!</v>
      </c>
      <c r="H10" s="4" t="s">
        <v>43</v>
      </c>
    </row>
    <row r="11" spans="1:8" ht="84.95" customHeight="1" x14ac:dyDescent="0.3">
      <c r="A11" s="6">
        <v>8</v>
      </c>
      <c r="B11" s="6" t="s">
        <v>33</v>
      </c>
      <c r="C11" s="4" t="s">
        <v>44</v>
      </c>
      <c r="D11" s="4" t="s">
        <v>45</v>
      </c>
      <c r="E11" s="4" t="s">
        <v>46</v>
      </c>
      <c r="F11" s="5" t="s">
        <v>47</v>
      </c>
      <c r="G11" s="6" t="e" cm="1" vm="8">
        <f t="array" ref="G11">_xll.SMILES2IMG(D11, "aliceblue")</f>
        <v>#VALUE!</v>
      </c>
      <c r="H11" s="4" t="s">
        <v>48</v>
      </c>
    </row>
    <row r="12" spans="1:8" ht="84.95" customHeight="1" x14ac:dyDescent="0.3">
      <c r="A12" s="6">
        <v>9</v>
      </c>
      <c r="B12" s="6" t="s">
        <v>33</v>
      </c>
      <c r="C12" s="4" t="s">
        <v>49</v>
      </c>
      <c r="D12" s="4" t="s">
        <v>50</v>
      </c>
      <c r="E12" s="4" t="s">
        <v>51</v>
      </c>
      <c r="F12" s="5" t="s">
        <v>52</v>
      </c>
      <c r="G12" s="6" t="e" cm="1" vm="9">
        <f t="array" ref="G12">_xll.SMILES2IMG(D12, "#F0F4F8")</f>
        <v>#VALUE!</v>
      </c>
      <c r="H12" s="4" t="s">
        <v>53</v>
      </c>
    </row>
    <row r="13" spans="1:8" ht="84.95" customHeight="1" x14ac:dyDescent="0.3">
      <c r="A13" s="6">
        <v>10</v>
      </c>
      <c r="B13" s="6" t="s">
        <v>54</v>
      </c>
      <c r="C13" s="4" t="s">
        <v>55</v>
      </c>
      <c r="D13" s="4" t="s">
        <v>56</v>
      </c>
      <c r="E13" s="4" t="s">
        <v>57</v>
      </c>
      <c r="F13" s="5" t="s">
        <v>58</v>
      </c>
      <c r="G13" s="6" t="e" cm="1" vm="10">
        <f t="array" ref="G13">_xll.SMILES2IMG(D13, , "bw")</f>
        <v>#VALUE!</v>
      </c>
      <c r="H13" s="4" t="s">
        <v>59</v>
      </c>
    </row>
    <row r="14" spans="1:8" ht="84.95" customHeight="1" x14ac:dyDescent="0.3">
      <c r="A14" s="6">
        <v>11</v>
      </c>
      <c r="B14" s="6" t="s">
        <v>54</v>
      </c>
      <c r="C14" s="4" t="s">
        <v>60</v>
      </c>
      <c r="D14" s="4" t="s">
        <v>61</v>
      </c>
      <c r="E14" s="4" t="s">
        <v>62</v>
      </c>
      <c r="F14" s="5" t="s">
        <v>63</v>
      </c>
      <c r="G14" s="6" t="e" cm="1" vm="11">
        <f t="array" ref="G14">_xll.SMILES2IMG(D14, , "stereo")</f>
        <v>#VALUE!</v>
      </c>
      <c r="H14" s="4" t="s">
        <v>64</v>
      </c>
    </row>
    <row r="15" spans="1:8" ht="84.95" customHeight="1" x14ac:dyDescent="0.3">
      <c r="A15" s="6">
        <v>12</v>
      </c>
      <c r="B15" s="6" t="s">
        <v>54</v>
      </c>
      <c r="C15" s="4" t="s">
        <v>10</v>
      </c>
      <c r="D15" s="4" t="s">
        <v>11</v>
      </c>
      <c r="E15" s="4" t="s">
        <v>65</v>
      </c>
      <c r="F15" s="5" t="s">
        <v>66</v>
      </c>
      <c r="G15" s="6" t="e" cm="1" vm="12">
        <f t="array" ref="G15">_xll.SMILES2IMG(D15, , "h")</f>
        <v>#VALUE!</v>
      </c>
      <c r="H15" s="4" t="s">
        <v>67</v>
      </c>
    </row>
    <row r="16" spans="1:8" ht="84.95" customHeight="1" x14ac:dyDescent="0.3">
      <c r="A16" s="6">
        <v>13</v>
      </c>
      <c r="B16" s="6" t="s">
        <v>54</v>
      </c>
      <c r="C16" s="4" t="s">
        <v>15</v>
      </c>
      <c r="D16" s="4" t="s">
        <v>16</v>
      </c>
      <c r="E16" s="4" t="s">
        <v>68</v>
      </c>
      <c r="F16" s="5" t="s">
        <v>69</v>
      </c>
      <c r="G16" s="6" t="e" cm="1" vm="13">
        <f t="array" ref="G16">_xll.SMILES2IMG(D16, , "num")</f>
        <v>#VALUE!</v>
      </c>
      <c r="H16" s="4" t="s">
        <v>70</v>
      </c>
    </row>
    <row r="17" spans="1:8" ht="84.95" customHeight="1" x14ac:dyDescent="0.3">
      <c r="A17" s="6">
        <v>14</v>
      </c>
      <c r="B17" s="6" t="s">
        <v>54</v>
      </c>
      <c r="C17" s="4" t="s">
        <v>20</v>
      </c>
      <c r="D17" s="4" t="s">
        <v>21</v>
      </c>
      <c r="E17" s="4" t="s">
        <v>71</v>
      </c>
      <c r="F17" s="5" t="s">
        <v>72</v>
      </c>
      <c r="G17" s="6" t="e" cm="1" vm="14">
        <f t="array" ref="G17">_xll.SMILES2IMG(D17, , "all-c")</f>
        <v>#VALUE!</v>
      </c>
      <c r="H17" s="4" t="s">
        <v>73</v>
      </c>
    </row>
    <row r="18" spans="1:8" ht="84.95" customHeight="1" x14ac:dyDescent="0.3">
      <c r="A18" s="6">
        <v>15</v>
      </c>
      <c r="B18" s="6" t="s">
        <v>54</v>
      </c>
      <c r="C18" s="4" t="s">
        <v>29</v>
      </c>
      <c r="D18" s="4" t="s">
        <v>30</v>
      </c>
      <c r="E18" s="4" t="s">
        <v>74</v>
      </c>
      <c r="F18" s="5" t="s">
        <v>75</v>
      </c>
      <c r="G18" s="6" t="e" cm="1" vm="15">
        <f t="array" ref="G18">_xll.SMILES2IMG(D18, "aliceblue", "ink=#003366")</f>
        <v>#VALUE!</v>
      </c>
      <c r="H18" s="4" t="s">
        <v>76</v>
      </c>
    </row>
    <row r="19" spans="1:8" ht="84.95" customHeight="1" x14ac:dyDescent="0.3">
      <c r="A19" s="6">
        <v>16</v>
      </c>
      <c r="B19" s="6" t="s">
        <v>54</v>
      </c>
      <c r="C19" s="4" t="s">
        <v>55</v>
      </c>
      <c r="D19" s="4" t="s">
        <v>56</v>
      </c>
      <c r="E19" s="4" t="s">
        <v>77</v>
      </c>
      <c r="F19" s="5" t="s">
        <v>78</v>
      </c>
      <c r="G19" s="6" t="e" cm="1" vm="16">
        <f t="array" ref="G19">_xll.SMILES2IMG(D19, "#1e1e1e", "white")</f>
        <v>#VALUE!</v>
      </c>
      <c r="H19" s="4" t="s">
        <v>79</v>
      </c>
    </row>
    <row r="20" spans="1:8" ht="84.95" customHeight="1" x14ac:dyDescent="0.3">
      <c r="A20" s="6">
        <v>17</v>
      </c>
      <c r="B20" s="6" t="s">
        <v>80</v>
      </c>
      <c r="C20" s="4" t="s">
        <v>55</v>
      </c>
      <c r="D20" s="4" t="s">
        <v>56</v>
      </c>
      <c r="E20" s="4" t="s">
        <v>81</v>
      </c>
      <c r="F20" s="5" t="s">
        <v>82</v>
      </c>
      <c r="G20" s="6" t="e" cm="1" vm="17">
        <f t="array" ref="G20">_xll.SMILES2IMG(D20, , "bw num")</f>
        <v>#VALUE!</v>
      </c>
      <c r="H20" s="4" t="s">
        <v>83</v>
      </c>
    </row>
    <row r="21" spans="1:8" ht="84.95" customHeight="1" x14ac:dyDescent="0.3">
      <c r="A21" s="6">
        <v>18</v>
      </c>
      <c r="B21" s="6" t="s">
        <v>80</v>
      </c>
      <c r="C21" s="4" t="s">
        <v>60</v>
      </c>
      <c r="D21" s="4" t="s">
        <v>61</v>
      </c>
      <c r="E21" s="4" t="s">
        <v>84</v>
      </c>
      <c r="F21" s="5" t="s">
        <v>85</v>
      </c>
      <c r="G21" s="6" t="e" cm="1" vm="18">
        <f t="array" ref="G21">_xll.SMILES2IMG(D21, , "bw|stereo")</f>
        <v>#VALUE!</v>
      </c>
      <c r="H21" s="4" t="s">
        <v>86</v>
      </c>
    </row>
    <row r="22" spans="1:8" ht="84.95" customHeight="1" x14ac:dyDescent="0.3">
      <c r="A22" s="6">
        <v>19</v>
      </c>
      <c r="B22" s="6" t="s">
        <v>80</v>
      </c>
      <c r="C22" s="4" t="s">
        <v>10</v>
      </c>
      <c r="D22" s="4" t="s">
        <v>11</v>
      </c>
      <c r="E22" s="4" t="s">
        <v>87</v>
      </c>
      <c r="F22" s="5" t="s">
        <v>88</v>
      </c>
      <c r="G22" s="6" t="e" cm="1" vm="19">
        <f t="array" ref="G22">_xll.SMILES2IMG(D22, , "num h")</f>
        <v>#VALUE!</v>
      </c>
      <c r="H22" s="4" t="s">
        <v>89</v>
      </c>
    </row>
    <row r="23" spans="1:8" ht="84.95" customHeight="1" x14ac:dyDescent="0.3">
      <c r="A23" s="6">
        <v>20</v>
      </c>
      <c r="B23" s="6" t="s">
        <v>80</v>
      </c>
      <c r="C23" s="4" t="s">
        <v>90</v>
      </c>
      <c r="D23" s="4" t="s">
        <v>91</v>
      </c>
      <c r="E23" s="4" t="s">
        <v>92</v>
      </c>
      <c r="F23" s="5" t="s">
        <v>93</v>
      </c>
      <c r="G23" s="6" t="e" cm="1" vm="20">
        <f t="array" ref="G23">_xll.SMILES2IMG(D23, "#1a1a1a", "white stereo num h")</f>
        <v>#VALUE!</v>
      </c>
      <c r="H23" s="4" t="s">
        <v>94</v>
      </c>
    </row>
    <row r="24" spans="1:8" ht="84.95" customHeight="1" x14ac:dyDescent="0.3">
      <c r="A24" s="6">
        <v>21</v>
      </c>
      <c r="B24" s="6" t="s">
        <v>95</v>
      </c>
      <c r="C24" s="4" t="s">
        <v>90</v>
      </c>
      <c r="D24" s="4" t="s">
        <v>91</v>
      </c>
      <c r="E24" s="4" t="s">
        <v>96</v>
      </c>
      <c r="F24" s="5" t="s">
        <v>97</v>
      </c>
      <c r="G24" s="6" t="e" cm="1" vm="21">
        <f t="array" ref="G24">_xll.SMILES2IMG(D24, , , "flip")</f>
        <v>#VALUE!</v>
      </c>
      <c r="H24" s="4" t="s">
        <v>98</v>
      </c>
    </row>
    <row r="25" spans="1:8" ht="84.95" customHeight="1" x14ac:dyDescent="0.3">
      <c r="A25" s="6">
        <v>22</v>
      </c>
      <c r="B25" s="6" t="s">
        <v>95</v>
      </c>
      <c r="C25" s="4" t="s">
        <v>99</v>
      </c>
      <c r="D25" s="4" t="s">
        <v>100</v>
      </c>
      <c r="E25" s="4" t="s">
        <v>101</v>
      </c>
      <c r="F25" s="5" t="s">
        <v>102</v>
      </c>
      <c r="G25" s="6" t="e" cm="1" vm="22">
        <f t="array" ref="G25">_xll.SMILES2IMG(D25, , , "flipy")</f>
        <v>#VALUE!</v>
      </c>
      <c r="H25" s="4" t="s">
        <v>103</v>
      </c>
    </row>
    <row r="26" spans="1:8" ht="84.95" customHeight="1" x14ac:dyDescent="0.3">
      <c r="A26" s="6">
        <v>23</v>
      </c>
      <c r="B26" s="6" t="s">
        <v>95</v>
      </c>
      <c r="C26" s="4" t="s">
        <v>55</v>
      </c>
      <c r="D26" s="4" t="s">
        <v>56</v>
      </c>
      <c r="E26" s="4" t="s">
        <v>104</v>
      </c>
      <c r="F26" s="5" t="s">
        <v>105</v>
      </c>
      <c r="G26" s="6" t="e" cm="1" vm="23">
        <f t="array" ref="G26">_xll.SMILES2IMG(D26, , , "rot90")</f>
        <v>#VALUE!</v>
      </c>
      <c r="H26" s="4" t="s">
        <v>106</v>
      </c>
    </row>
    <row r="27" spans="1:8" ht="84.95" customHeight="1" x14ac:dyDescent="0.3">
      <c r="A27" s="6">
        <v>24</v>
      </c>
      <c r="B27" s="6" t="s">
        <v>95</v>
      </c>
      <c r="C27" s="4" t="s">
        <v>34</v>
      </c>
      <c r="D27" s="4" t="s">
        <v>35</v>
      </c>
      <c r="E27" s="4" t="s">
        <v>107</v>
      </c>
      <c r="F27" s="5" t="s">
        <v>108</v>
      </c>
      <c r="G27" s="6" t="e" cm="1" vm="24">
        <f t="array" ref="G27">_xll.SMILES2IMG(D27, , , "rot180")</f>
        <v>#VALUE!</v>
      </c>
      <c r="H27" s="4" t="s">
        <v>109</v>
      </c>
    </row>
    <row r="28" spans="1:8" ht="84.95" customHeight="1" x14ac:dyDescent="0.3">
      <c r="A28" s="6">
        <v>25</v>
      </c>
      <c r="B28" s="6" t="s">
        <v>95</v>
      </c>
      <c r="C28" s="4" t="s">
        <v>55</v>
      </c>
      <c r="D28" s="4" t="s">
        <v>56</v>
      </c>
      <c r="E28" s="4" t="s">
        <v>110</v>
      </c>
      <c r="F28" s="5" t="s">
        <v>111</v>
      </c>
      <c r="G28" s="6" t="e" cm="1" vm="25">
        <f t="array" ref="G28">_xll.SMILES2IMG(D28, , , "flip rot90")</f>
        <v>#VALUE!</v>
      </c>
      <c r="H28" s="4" t="s">
        <v>112</v>
      </c>
    </row>
    <row r="29" spans="1:8" ht="84.95" customHeight="1" x14ac:dyDescent="0.3">
      <c r="A29" s="6">
        <v>26</v>
      </c>
      <c r="B29" s="6" t="s">
        <v>113</v>
      </c>
      <c r="C29" s="4" t="s">
        <v>55</v>
      </c>
      <c r="D29" s="4" t="s">
        <v>56</v>
      </c>
      <c r="E29" s="4" t="s">
        <v>114</v>
      </c>
      <c r="F29" s="5" t="s">
        <v>115</v>
      </c>
      <c r="G29" s="6" t="e" cm="1" vm="26">
        <f t="array" ref="G29">_xll.SMILES2IMG(D29, "white", "bw num stereo h all-c", "flip rot90")</f>
        <v>#VALUE!</v>
      </c>
      <c r="H29" s="4" t="s">
        <v>116</v>
      </c>
    </row>
    <row r="30" spans="1:8" ht="84.95" customHeight="1" x14ac:dyDescent="0.3">
      <c r="A30" s="6">
        <v>27</v>
      </c>
      <c r="B30" s="6" t="s">
        <v>113</v>
      </c>
      <c r="C30" s="4" t="s">
        <v>117</v>
      </c>
      <c r="D30" s="4" t="s">
        <v>118</v>
      </c>
      <c r="E30" s="4" t="s">
        <v>119</v>
      </c>
      <c r="F30" s="5" t="s">
        <v>120</v>
      </c>
      <c r="G30" s="6" t="e" cm="1" vm="27">
        <f t="array" ref="G30">_xll.SMILES2IMG(D30, "white", "bw|num|stereo|h|all-c", "flip rot90")</f>
        <v>#VALUE!</v>
      </c>
      <c r="H30" s="4" t="s">
        <v>121</v>
      </c>
    </row>
  </sheetData>
  <mergeCells count="1">
    <mergeCell ref="A1:H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7818A-AEE3-4115-A070-AD4D911CBC2E}">
  <sheetPr>
    <tabColor rgb="FF228B22"/>
  </sheetPr>
  <dimension ref="A1:H13"/>
  <sheetViews>
    <sheetView workbookViewId="0"/>
  </sheetViews>
  <sheetFormatPr defaultRowHeight="16.5" x14ac:dyDescent="0.3"/>
  <cols>
    <col min="1" max="1" width="6.625" customWidth="1"/>
    <col min="2" max="2" width="16.625" customWidth="1"/>
    <col min="3" max="3" width="22.625" customWidth="1"/>
    <col min="4" max="4" width="32.625" customWidth="1"/>
    <col min="5" max="5" width="26.625" customWidth="1"/>
    <col min="6" max="6" width="48.625" customWidth="1"/>
    <col min="7" max="7" width="28.625" customWidth="1"/>
    <col min="8" max="8" width="48.625" customWidth="1"/>
  </cols>
  <sheetData>
    <row r="1" spans="1:8" ht="36" customHeight="1" x14ac:dyDescent="0.3">
      <c r="A1" s="7" t="s">
        <v>122</v>
      </c>
      <c r="B1" s="7"/>
      <c r="C1" s="7"/>
      <c r="D1" s="7"/>
      <c r="E1" s="7"/>
      <c r="F1" s="7"/>
      <c r="G1" s="7"/>
      <c r="H1" s="7"/>
    </row>
    <row r="3" spans="1:8" ht="26.1" customHeight="1" x14ac:dyDescent="0.3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123</v>
      </c>
      <c r="H3" s="8" t="s">
        <v>124</v>
      </c>
    </row>
    <row r="4" spans="1:8" ht="84.95" customHeight="1" x14ac:dyDescent="0.3">
      <c r="A4" s="6">
        <v>1</v>
      </c>
      <c r="B4" s="6" t="s">
        <v>9</v>
      </c>
      <c r="C4" s="4" t="s">
        <v>10</v>
      </c>
      <c r="D4" s="4" t="s">
        <v>11</v>
      </c>
      <c r="E4" s="4" t="s">
        <v>17</v>
      </c>
      <c r="F4" s="5" t="s">
        <v>125</v>
      </c>
      <c r="G4" s="6" t="str" cm="1">
        <f t="array" ref="G4">_xll.SMILES2IMG.FLOAT(D4)</f>
        <v/>
      </c>
      <c r="H4" s="4" t="s">
        <v>126</v>
      </c>
    </row>
    <row r="5" spans="1:8" ht="84.95" customHeight="1" x14ac:dyDescent="0.3">
      <c r="A5" s="6">
        <v>2</v>
      </c>
      <c r="B5" s="6" t="s">
        <v>9</v>
      </c>
      <c r="C5" s="4" t="s">
        <v>34</v>
      </c>
      <c r="D5" s="4" t="s">
        <v>35</v>
      </c>
      <c r="E5" s="4" t="s">
        <v>17</v>
      </c>
      <c r="F5" s="5" t="s">
        <v>127</v>
      </c>
      <c r="G5" s="6" t="str" cm="1">
        <f t="array" ref="G5">_xll.SMILES2IMG.FLOAT(D5)</f>
        <v/>
      </c>
      <c r="H5" s="4" t="s">
        <v>128</v>
      </c>
    </row>
    <row r="6" spans="1:8" ht="84.95" customHeight="1" x14ac:dyDescent="0.3">
      <c r="A6" s="6">
        <v>3</v>
      </c>
      <c r="B6" s="6" t="s">
        <v>33</v>
      </c>
      <c r="C6" s="4" t="s">
        <v>39</v>
      </c>
      <c r="D6" s="4" t="s">
        <v>40</v>
      </c>
      <c r="E6" s="4" t="s">
        <v>36</v>
      </c>
      <c r="F6" s="5" t="s">
        <v>129</v>
      </c>
      <c r="G6" s="6" t="str" cm="1">
        <f t="array" ref="G6">_xll.SMILES2IMG.FLOAT(D6, "white")</f>
        <v/>
      </c>
      <c r="H6" s="4" t="s">
        <v>130</v>
      </c>
    </row>
    <row r="7" spans="1:8" ht="84.95" customHeight="1" x14ac:dyDescent="0.3">
      <c r="A7" s="6">
        <v>4</v>
      </c>
      <c r="B7" s="6" t="s">
        <v>54</v>
      </c>
      <c r="C7" s="4" t="s">
        <v>55</v>
      </c>
      <c r="D7" s="4" t="s">
        <v>56</v>
      </c>
      <c r="E7" s="4" t="s">
        <v>57</v>
      </c>
      <c r="F7" s="5" t="s">
        <v>131</v>
      </c>
      <c r="G7" s="6" t="str" cm="1">
        <f t="array" ref="G7">_xll.SMILES2IMG.FLOAT(D7, , "bw")</f>
        <v/>
      </c>
      <c r="H7" s="4" t="s">
        <v>132</v>
      </c>
    </row>
    <row r="8" spans="1:8" ht="84.95" customHeight="1" x14ac:dyDescent="0.3">
      <c r="A8" s="6">
        <v>5</v>
      </c>
      <c r="B8" s="6" t="s">
        <v>54</v>
      </c>
      <c r="C8" s="4" t="s">
        <v>60</v>
      </c>
      <c r="D8" s="4" t="s">
        <v>61</v>
      </c>
      <c r="E8" s="4" t="s">
        <v>62</v>
      </c>
      <c r="F8" s="5" t="s">
        <v>133</v>
      </c>
      <c r="G8" s="6" t="str" cm="1">
        <f t="array" ref="G8">_xll.SMILES2IMG.FLOAT(D8, , "stereo")</f>
        <v/>
      </c>
      <c r="H8" s="4" t="s">
        <v>134</v>
      </c>
    </row>
    <row r="9" spans="1:8" ht="84.95" customHeight="1" x14ac:dyDescent="0.3">
      <c r="A9" s="6">
        <v>6</v>
      </c>
      <c r="B9" s="6" t="s">
        <v>54</v>
      </c>
      <c r="C9" s="4" t="s">
        <v>10</v>
      </c>
      <c r="D9" s="4" t="s">
        <v>11</v>
      </c>
      <c r="E9" s="4" t="s">
        <v>65</v>
      </c>
      <c r="F9" s="5" t="s">
        <v>135</v>
      </c>
      <c r="G9" s="6" t="str" cm="1">
        <f t="array" ref="G9">_xll.SMILES2IMG.FLOAT(D9, , "h")</f>
        <v/>
      </c>
      <c r="H9" s="4" t="s">
        <v>136</v>
      </c>
    </row>
    <row r="10" spans="1:8" ht="84.95" customHeight="1" x14ac:dyDescent="0.3">
      <c r="A10" s="6">
        <v>7</v>
      </c>
      <c r="B10" s="6" t="s">
        <v>80</v>
      </c>
      <c r="C10" s="4" t="s">
        <v>55</v>
      </c>
      <c r="D10" s="4" t="s">
        <v>56</v>
      </c>
      <c r="E10" s="4" t="s">
        <v>137</v>
      </c>
      <c r="F10" s="5" t="s">
        <v>138</v>
      </c>
      <c r="G10" s="6" t="str" cm="1">
        <f t="array" ref="G10">_xll.SMILES2IMG.FLOAT(D10, , "bw num")</f>
        <v/>
      </c>
      <c r="H10" s="4" t="s">
        <v>139</v>
      </c>
    </row>
    <row r="11" spans="1:8" ht="84.95" customHeight="1" x14ac:dyDescent="0.3">
      <c r="A11" s="6">
        <v>8</v>
      </c>
      <c r="B11" s="6" t="s">
        <v>80</v>
      </c>
      <c r="C11" s="4" t="s">
        <v>90</v>
      </c>
      <c r="D11" s="4" t="s">
        <v>91</v>
      </c>
      <c r="E11" s="4" t="s">
        <v>140</v>
      </c>
      <c r="F11" s="5" t="s">
        <v>141</v>
      </c>
      <c r="G11" s="6" t="str" cm="1">
        <f t="array" ref="G11">_xll.SMILES2IMG.FLOAT(D11, "#1e1e1e", "white stereo")</f>
        <v/>
      </c>
      <c r="H11" s="4" t="s">
        <v>142</v>
      </c>
    </row>
    <row r="12" spans="1:8" ht="84.95" customHeight="1" x14ac:dyDescent="0.3">
      <c r="A12" s="6">
        <v>9</v>
      </c>
      <c r="B12" s="6" t="s">
        <v>95</v>
      </c>
      <c r="C12" s="4" t="s">
        <v>90</v>
      </c>
      <c r="D12" s="4" t="s">
        <v>91</v>
      </c>
      <c r="E12" s="4" t="s">
        <v>96</v>
      </c>
      <c r="F12" s="5" t="s">
        <v>143</v>
      </c>
      <c r="G12" s="6" t="str" cm="1">
        <f t="array" ref="G12">_xll.SMILES2IMG.FLOAT(D12, , , "flip")</f>
        <v/>
      </c>
      <c r="H12" s="4" t="s">
        <v>144</v>
      </c>
    </row>
    <row r="13" spans="1:8" ht="84.95" customHeight="1" x14ac:dyDescent="0.3">
      <c r="A13" s="6">
        <v>10</v>
      </c>
      <c r="B13" s="6" t="s">
        <v>113</v>
      </c>
      <c r="C13" s="4" t="s">
        <v>55</v>
      </c>
      <c r="D13" s="4" t="s">
        <v>56</v>
      </c>
      <c r="E13" s="4" t="s">
        <v>114</v>
      </c>
      <c r="F13" s="5" t="s">
        <v>145</v>
      </c>
      <c r="G13" s="6" t="str" cm="1">
        <f t="array" ref="G13">_xll.SMILES2IMG.FLOAT(D13, "white", "bw num stereo h all-c", "rot90")</f>
        <v/>
      </c>
      <c r="H13" s="4" t="s">
        <v>146</v>
      </c>
    </row>
  </sheetData>
  <mergeCells count="1">
    <mergeCell ref="A1:H1"/>
  </mergeCells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FCE33-7BF5-4140-B8C8-989F78616072}">
  <sheetPr>
    <tabColor rgb="FF800080"/>
  </sheetPr>
  <dimension ref="A1:H15"/>
  <sheetViews>
    <sheetView workbookViewId="0"/>
  </sheetViews>
  <sheetFormatPr defaultRowHeight="16.5" x14ac:dyDescent="0.3"/>
  <cols>
    <col min="1" max="1" width="6.625" customWidth="1"/>
    <col min="2" max="2" width="18.625" customWidth="1"/>
    <col min="3" max="3" width="24.625" customWidth="1"/>
    <col min="4" max="4" width="34.625" customWidth="1"/>
    <col min="5" max="5" width="32.625" customWidth="1"/>
    <col min="6" max="6" width="48.625" customWidth="1"/>
    <col min="7" max="7" width="32.625" customWidth="1"/>
    <col min="8" max="8" width="48.625" customWidth="1"/>
  </cols>
  <sheetData>
    <row r="1" spans="1:8" ht="36" customHeight="1" x14ac:dyDescent="0.3">
      <c r="A1" s="9" t="s">
        <v>154</v>
      </c>
      <c r="B1" s="9"/>
      <c r="C1" s="9"/>
      <c r="D1" s="9"/>
      <c r="E1" s="9"/>
      <c r="F1" s="9"/>
      <c r="G1" s="9"/>
      <c r="H1" s="9"/>
    </row>
    <row r="3" spans="1:8" ht="26.1" customHeight="1" x14ac:dyDescent="0.3">
      <c r="A3" s="10" t="s">
        <v>178</v>
      </c>
      <c r="B3" s="10" t="s">
        <v>179</v>
      </c>
      <c r="C3" s="10" t="s">
        <v>180</v>
      </c>
      <c r="D3" s="10" t="s">
        <v>181</v>
      </c>
      <c r="E3" s="10" t="s">
        <v>182</v>
      </c>
      <c r="F3" s="10" t="s">
        <v>6</v>
      </c>
      <c r="G3" s="10" t="s">
        <v>7</v>
      </c>
      <c r="H3" s="10" t="s">
        <v>183</v>
      </c>
    </row>
    <row r="4" spans="1:8" ht="84.95" customHeight="1" x14ac:dyDescent="0.3">
      <c r="A4" s="6">
        <v>1</v>
      </c>
      <c r="B4" s="6" t="s">
        <v>184</v>
      </c>
      <c r="C4" s="4" t="s">
        <v>185</v>
      </c>
      <c r="D4" s="4" t="s">
        <v>186</v>
      </c>
      <c r="E4" s="4" t="s">
        <v>187</v>
      </c>
      <c r="F4" s="5" t="s">
        <v>188</v>
      </c>
      <c r="G4" s="6" t="e" cm="1" vm="28">
        <f t="array" ref="G4">_xll.SMILES2IMG(D4, , "stereo")</f>
        <v>#VALUE!</v>
      </c>
      <c r="H4" s="4" t="s">
        <v>189</v>
      </c>
    </row>
    <row r="5" spans="1:8" ht="84.95" customHeight="1" x14ac:dyDescent="0.3">
      <c r="A5" s="6">
        <v>2</v>
      </c>
      <c r="B5" s="6" t="s">
        <v>190</v>
      </c>
      <c r="C5" s="4" t="s">
        <v>191</v>
      </c>
      <c r="D5" s="4" t="s">
        <v>192</v>
      </c>
      <c r="E5" s="4" t="s">
        <v>193</v>
      </c>
      <c r="F5" s="5" t="s">
        <v>18</v>
      </c>
      <c r="G5" s="6" t="e" cm="1" vm="29">
        <f t="array" ref="G5">_xll.SMILES2IMG(D5)</f>
        <v>#VALUE!</v>
      </c>
      <c r="H5" s="4" t="s">
        <v>194</v>
      </c>
    </row>
    <row r="6" spans="1:8" ht="84.95" customHeight="1" x14ac:dyDescent="0.3">
      <c r="A6" s="6">
        <v>3</v>
      </c>
      <c r="B6" s="6" t="s">
        <v>195</v>
      </c>
      <c r="C6" s="4" t="s">
        <v>99</v>
      </c>
      <c r="D6" s="4" t="s">
        <v>100</v>
      </c>
      <c r="E6" s="4" t="s">
        <v>196</v>
      </c>
      <c r="F6" s="5" t="s">
        <v>197</v>
      </c>
      <c r="G6" s="6" t="e" cm="1" vm="30">
        <f t="array" ref="G6">_xll.SMILES2IMG(D6, , "stereo")</f>
        <v>#VALUE!</v>
      </c>
      <c r="H6" s="4" t="s">
        <v>198</v>
      </c>
    </row>
    <row r="7" spans="1:8" ht="84.95" customHeight="1" x14ac:dyDescent="0.3">
      <c r="A7" s="6">
        <v>4</v>
      </c>
      <c r="B7" s="6" t="s">
        <v>199</v>
      </c>
      <c r="C7" s="4" t="s">
        <v>200</v>
      </c>
      <c r="D7" s="4" t="s">
        <v>201</v>
      </c>
      <c r="E7" s="4" t="s">
        <v>202</v>
      </c>
      <c r="F7" s="5" t="s">
        <v>203</v>
      </c>
      <c r="G7" s="6" t="e" cm="1" vm="31">
        <f t="array" ref="G7">_xll.SMILES2IMG(D7, , "stereo")</f>
        <v>#VALUE!</v>
      </c>
      <c r="H7" s="4" t="s">
        <v>204</v>
      </c>
    </row>
    <row r="8" spans="1:8" ht="84.95" customHeight="1" x14ac:dyDescent="0.3">
      <c r="A8" s="6">
        <v>5</v>
      </c>
      <c r="B8" s="6" t="s">
        <v>205</v>
      </c>
      <c r="C8" s="4" t="s">
        <v>117</v>
      </c>
      <c r="D8" s="4" t="s">
        <v>118</v>
      </c>
      <c r="E8" s="4" t="s">
        <v>206</v>
      </c>
      <c r="F8" s="5" t="s">
        <v>207</v>
      </c>
      <c r="G8" s="6" t="e" cm="1" vm="32">
        <f t="array" ref="G8">_xll.SMILES2IMG(D8, "white", "bw num stereo")</f>
        <v>#VALUE!</v>
      </c>
      <c r="H8" s="4" t="s">
        <v>208</v>
      </c>
    </row>
    <row r="9" spans="1:8" ht="84.95" customHeight="1" x14ac:dyDescent="0.3">
      <c r="A9" s="6">
        <v>6</v>
      </c>
      <c r="B9" s="6" t="s">
        <v>209</v>
      </c>
      <c r="C9" s="4" t="s">
        <v>210</v>
      </c>
      <c r="D9" s="4" t="s">
        <v>211</v>
      </c>
      <c r="E9" s="4" t="s">
        <v>212</v>
      </c>
      <c r="F9" s="5" t="s">
        <v>213</v>
      </c>
      <c r="G9" s="6" t="e" cm="1" vm="33">
        <f t="array" ref="G9">_xll.SMILES2IMG(D9)</f>
        <v>#VALUE!</v>
      </c>
      <c r="H9" s="4" t="s">
        <v>214</v>
      </c>
    </row>
    <row r="10" spans="1:8" ht="84.95" customHeight="1" x14ac:dyDescent="0.3">
      <c r="A10" s="6">
        <v>7</v>
      </c>
      <c r="B10" s="6" t="s">
        <v>215</v>
      </c>
      <c r="C10" s="4" t="s">
        <v>216</v>
      </c>
      <c r="D10" s="4" t="s">
        <v>217</v>
      </c>
      <c r="E10" s="4" t="s">
        <v>218</v>
      </c>
      <c r="F10" s="5" t="s">
        <v>219</v>
      </c>
      <c r="G10" s="6" t="e" cm="1" vm="34">
        <f t="array" ref="G10">_xll.SMILES2IMG(D10)</f>
        <v>#VALUE!</v>
      </c>
      <c r="H10" s="4" t="s">
        <v>220</v>
      </c>
    </row>
    <row r="11" spans="1:8" ht="84.95" customHeight="1" x14ac:dyDescent="0.3">
      <c r="A11" s="6">
        <v>8</v>
      </c>
      <c r="B11" s="6" t="s">
        <v>221</v>
      </c>
      <c r="C11" s="4" t="s">
        <v>222</v>
      </c>
      <c r="D11" s="4" t="s">
        <v>223</v>
      </c>
      <c r="E11" s="4" t="s">
        <v>224</v>
      </c>
      <c r="F11" s="5" t="s">
        <v>225</v>
      </c>
      <c r="G11" s="6" t="e" cm="1" vm="35">
        <f t="array" ref="G11">_xll.SMILES2IMG(D11, , "bw")</f>
        <v>#VALUE!</v>
      </c>
      <c r="H11" s="4" t="s">
        <v>226</v>
      </c>
    </row>
    <row r="12" spans="1:8" ht="84.95" customHeight="1" x14ac:dyDescent="0.3">
      <c r="A12" s="6">
        <v>9</v>
      </c>
      <c r="B12" s="6" t="s">
        <v>227</v>
      </c>
      <c r="C12" s="4" t="s">
        <v>228</v>
      </c>
      <c r="D12" s="4" t="s">
        <v>229</v>
      </c>
      <c r="E12" s="4" t="s">
        <v>230</v>
      </c>
      <c r="F12" s="5" t="s">
        <v>231</v>
      </c>
      <c r="G12" s="6" t="e" cm="1" vm="36">
        <f t="array" ref="G12">_xll.SMILES2IMG(D12, "aliceblue", "ink=#003366")</f>
        <v>#VALUE!</v>
      </c>
      <c r="H12" s="4" t="s">
        <v>232</v>
      </c>
    </row>
    <row r="13" spans="1:8" ht="84.95" customHeight="1" x14ac:dyDescent="0.3">
      <c r="A13" s="6">
        <v>10</v>
      </c>
      <c r="B13" s="6" t="s">
        <v>233</v>
      </c>
      <c r="C13" s="4" t="s">
        <v>234</v>
      </c>
      <c r="D13" s="4" t="s">
        <v>235</v>
      </c>
      <c r="E13" s="4" t="s">
        <v>236</v>
      </c>
      <c r="F13" s="5" t="s">
        <v>237</v>
      </c>
      <c r="G13" s="6" t="e" cm="1" vm="37">
        <f t="array" ref="G13">_xll.SMILES2IMG(D13, , "stereo num")</f>
        <v>#VALUE!</v>
      </c>
      <c r="H13" s="4" t="s">
        <v>238</v>
      </c>
    </row>
    <row r="14" spans="1:8" ht="84.95" customHeight="1" x14ac:dyDescent="0.3">
      <c r="A14" s="6">
        <v>11</v>
      </c>
      <c r="B14" s="6" t="s">
        <v>239</v>
      </c>
      <c r="C14" s="4" t="s">
        <v>44</v>
      </c>
      <c r="D14" s="4" t="s">
        <v>45</v>
      </c>
      <c r="E14" s="4" t="s">
        <v>240</v>
      </c>
      <c r="F14" s="5" t="s">
        <v>241</v>
      </c>
      <c r="G14" s="6" t="e" cm="1" vm="38">
        <f t="array" ref="G14">_xll.SMILES2IMG(D14, , "num h")</f>
        <v>#VALUE!</v>
      </c>
      <c r="H14" s="4" t="s">
        <v>242</v>
      </c>
    </row>
    <row r="15" spans="1:8" ht="84.95" customHeight="1" x14ac:dyDescent="0.3">
      <c r="A15" s="6">
        <v>12</v>
      </c>
      <c r="B15" s="6" t="s">
        <v>243</v>
      </c>
      <c r="C15" s="4" t="s">
        <v>244</v>
      </c>
      <c r="D15" s="4" t="s">
        <v>245</v>
      </c>
      <c r="E15" s="4" t="s">
        <v>246</v>
      </c>
      <c r="F15" s="5" t="s">
        <v>247</v>
      </c>
      <c r="G15" s="6" t="e" cm="1" vm="39">
        <f t="array" ref="G15">_xll.SMILES2IMG(D15, , "all-c")</f>
        <v>#VALUE!</v>
      </c>
      <c r="H15" s="4" t="s">
        <v>248</v>
      </c>
    </row>
  </sheetData>
  <mergeCells count="1">
    <mergeCell ref="A1:H1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14873-7184-41B9-BDD6-838C6E099A84}">
  <sheetPr>
    <tabColor rgb="FFFF8000"/>
  </sheetPr>
  <dimension ref="A1:G18"/>
  <sheetViews>
    <sheetView workbookViewId="0"/>
  </sheetViews>
  <sheetFormatPr defaultRowHeight="16.5" x14ac:dyDescent="0.3"/>
  <cols>
    <col min="1" max="1" width="6.625" customWidth="1"/>
    <col min="2" max="2" width="28.625" customWidth="1"/>
    <col min="3" max="3" width="12.625" customWidth="1"/>
    <col min="4" max="4" width="26.625" customWidth="1"/>
    <col min="5" max="5" width="68.625" customWidth="1"/>
    <col min="6" max="6" width="28.625" customWidth="1"/>
    <col min="7" max="7" width="48.625" customWidth="1"/>
  </cols>
  <sheetData>
    <row r="1" spans="1:7" ht="36" customHeight="1" x14ac:dyDescent="0.3">
      <c r="A1" s="14" t="s">
        <v>251</v>
      </c>
      <c r="B1" s="14"/>
      <c r="C1" s="14"/>
      <c r="D1" s="14"/>
      <c r="E1" s="14"/>
      <c r="F1" s="14"/>
      <c r="G1" s="14"/>
    </row>
    <row r="2" spans="1:7" x14ac:dyDescent="0.3">
      <c r="A2" s="11" t="s">
        <v>249</v>
      </c>
      <c r="B2" s="12" t="s">
        <v>56</v>
      </c>
      <c r="C2" s="13" t="s">
        <v>250</v>
      </c>
    </row>
    <row r="3" spans="1:7" ht="26.1" customHeight="1" x14ac:dyDescent="0.3">
      <c r="A3" s="15" t="s">
        <v>1</v>
      </c>
      <c r="B3" s="15" t="s">
        <v>252</v>
      </c>
      <c r="C3" s="15" t="s">
        <v>253</v>
      </c>
      <c r="D3" s="15" t="s">
        <v>254</v>
      </c>
      <c r="E3" s="15" t="s">
        <v>6</v>
      </c>
      <c r="F3" s="15" t="s">
        <v>255</v>
      </c>
      <c r="G3" s="15" t="s">
        <v>256</v>
      </c>
    </row>
    <row r="4" spans="1:7" ht="84.95" customHeight="1" x14ac:dyDescent="0.3">
      <c r="A4" s="6">
        <v>1</v>
      </c>
      <c r="B4" s="6" t="s">
        <v>257</v>
      </c>
      <c r="C4" s="4" t="s">
        <v>258</v>
      </c>
      <c r="D4" s="4" t="s">
        <v>259</v>
      </c>
      <c r="E4" s="5" t="s">
        <v>260</v>
      </c>
      <c r="F4" s="6" t="e" cm="1" vm="40">
        <f t="array" ref="F4">_xll.SMILES2IMG($B$2)</f>
        <v>#VALUE!</v>
      </c>
      <c r="G4" s="4" t="s">
        <v>261</v>
      </c>
    </row>
    <row r="5" spans="1:7" ht="84.95" customHeight="1" x14ac:dyDescent="0.3">
      <c r="A5" s="6">
        <v>2</v>
      </c>
      <c r="B5" s="6" t="s">
        <v>262</v>
      </c>
      <c r="C5" s="4" t="s">
        <v>258</v>
      </c>
      <c r="D5" s="4" t="s">
        <v>263</v>
      </c>
      <c r="E5" s="5" t="s">
        <v>264</v>
      </c>
      <c r="F5" s="6" t="e" cm="1" vm="10">
        <f t="array" ref="F5">_xll.SMILES2IMG($B$2, , "bw")</f>
        <v>#VALUE!</v>
      </c>
      <c r="G5" s="4" t="s">
        <v>265</v>
      </c>
    </row>
    <row r="6" spans="1:7" ht="84.95" customHeight="1" x14ac:dyDescent="0.3">
      <c r="A6" s="6">
        <v>3</v>
      </c>
      <c r="B6" s="6" t="s">
        <v>266</v>
      </c>
      <c r="C6" s="4" t="s">
        <v>258</v>
      </c>
      <c r="D6" s="4" t="s">
        <v>267</v>
      </c>
      <c r="E6" s="5" t="s">
        <v>268</v>
      </c>
      <c r="F6" s="6" t="e" cm="1" vm="41">
        <f t="array" ref="F6">_xll.SMILES2IMG($B$2, , "num")</f>
        <v>#VALUE!</v>
      </c>
      <c r="G6" s="4" t="s">
        <v>269</v>
      </c>
    </row>
    <row r="7" spans="1:7" ht="84.95" customHeight="1" x14ac:dyDescent="0.3">
      <c r="A7" s="6">
        <v>4</v>
      </c>
      <c r="B7" s="6" t="s">
        <v>270</v>
      </c>
      <c r="C7" s="4" t="s">
        <v>258</v>
      </c>
      <c r="D7" s="4" t="s">
        <v>271</v>
      </c>
      <c r="E7" s="5" t="s">
        <v>272</v>
      </c>
      <c r="F7" s="6" t="e" cm="1" vm="40">
        <f t="array" ref="F7">_xll.SMILES2IMG($B$2, , "stereo")</f>
        <v>#VALUE!</v>
      </c>
      <c r="G7" s="4" t="s">
        <v>273</v>
      </c>
    </row>
    <row r="8" spans="1:7" ht="84.95" customHeight="1" x14ac:dyDescent="0.3">
      <c r="A8" s="6">
        <v>5</v>
      </c>
      <c r="B8" s="6" t="s">
        <v>274</v>
      </c>
      <c r="C8" s="4" t="s">
        <v>258</v>
      </c>
      <c r="D8" s="4" t="s">
        <v>275</v>
      </c>
      <c r="E8" s="5" t="s">
        <v>276</v>
      </c>
      <c r="F8" s="6" t="e" cm="1" vm="42">
        <f t="array" ref="F8">_xll.SMILES2IMG($B$2, , "h")</f>
        <v>#VALUE!</v>
      </c>
      <c r="G8" s="4" t="s">
        <v>277</v>
      </c>
    </row>
    <row r="9" spans="1:7" ht="84.95" customHeight="1" x14ac:dyDescent="0.3">
      <c r="A9" s="6">
        <v>6</v>
      </c>
      <c r="B9" s="6" t="s">
        <v>278</v>
      </c>
      <c r="C9" s="4" t="s">
        <v>258</v>
      </c>
      <c r="D9" s="4" t="s">
        <v>279</v>
      </c>
      <c r="E9" s="5" t="s">
        <v>280</v>
      </c>
      <c r="F9" s="6" t="e" cm="1" vm="43">
        <f t="array" ref="F9">_xll.SMILES2IMG($B$2, , "all-c")</f>
        <v>#VALUE!</v>
      </c>
      <c r="G9" s="4" t="s">
        <v>281</v>
      </c>
    </row>
    <row r="10" spans="1:7" ht="84.95" customHeight="1" x14ac:dyDescent="0.3">
      <c r="A10" s="6">
        <v>7</v>
      </c>
      <c r="B10" s="6" t="s">
        <v>282</v>
      </c>
      <c r="C10" s="4" t="s">
        <v>258</v>
      </c>
      <c r="D10" s="4" t="s">
        <v>283</v>
      </c>
      <c r="E10" s="5" t="s">
        <v>284</v>
      </c>
      <c r="F10" s="6" t="e" cm="1" vm="16">
        <f t="array" ref="F10">_xll.SMILES2IMG($B$2, "#1e1e1e", "white")</f>
        <v>#VALUE!</v>
      </c>
      <c r="G10" s="4" t="s">
        <v>285</v>
      </c>
    </row>
    <row r="11" spans="1:7" ht="84.95" customHeight="1" x14ac:dyDescent="0.3">
      <c r="A11" s="6">
        <v>8</v>
      </c>
      <c r="B11" s="6" t="s">
        <v>286</v>
      </c>
      <c r="C11" s="4" t="s">
        <v>258</v>
      </c>
      <c r="D11" s="4" t="s">
        <v>287</v>
      </c>
      <c r="E11" s="5" t="s">
        <v>288</v>
      </c>
      <c r="F11" s="6" t="e" cm="1" vm="44">
        <f t="array" ref="F11">_xll.SMILES2IMG($B$2, "aliceblue", "ink=#003366")</f>
        <v>#VALUE!</v>
      </c>
      <c r="G11" s="4" t="s">
        <v>289</v>
      </c>
    </row>
    <row r="12" spans="1:7" ht="84.95" customHeight="1" x14ac:dyDescent="0.3">
      <c r="A12" s="6">
        <v>9</v>
      </c>
      <c r="B12" s="6" t="s">
        <v>290</v>
      </c>
      <c r="C12" s="4" t="s">
        <v>291</v>
      </c>
      <c r="D12" s="4" t="s">
        <v>292</v>
      </c>
      <c r="E12" s="5" t="s">
        <v>293</v>
      </c>
      <c r="F12" s="6" t="e" cm="1" vm="17">
        <f t="array" ref="F12">_xll.SMILES2IMG($B$2, , "bw num")</f>
        <v>#VALUE!</v>
      </c>
      <c r="G12" s="4" t="s">
        <v>294</v>
      </c>
    </row>
    <row r="13" spans="1:7" ht="84.95" customHeight="1" x14ac:dyDescent="0.3">
      <c r="A13" s="6">
        <v>10</v>
      </c>
      <c r="B13" s="6" t="s">
        <v>295</v>
      </c>
      <c r="C13" s="4" t="s">
        <v>296</v>
      </c>
      <c r="D13" s="4" t="s">
        <v>297</v>
      </c>
      <c r="E13" s="5" t="s">
        <v>298</v>
      </c>
      <c r="F13" s="6" t="e" cm="1" vm="10">
        <f t="array" ref="F13">_xll.SMILES2IMG($B$2, , "bw|stereo")</f>
        <v>#VALUE!</v>
      </c>
      <c r="G13" s="4" t="s">
        <v>299</v>
      </c>
    </row>
    <row r="14" spans="1:7" ht="84.95" customHeight="1" x14ac:dyDescent="0.3">
      <c r="A14" s="6">
        <v>11</v>
      </c>
      <c r="B14" s="6" t="s">
        <v>300</v>
      </c>
      <c r="C14" s="4" t="s">
        <v>258</v>
      </c>
      <c r="D14" s="4" t="s">
        <v>301</v>
      </c>
      <c r="E14" s="5" t="s">
        <v>302</v>
      </c>
      <c r="F14" s="6" t="e" cm="1" vm="23">
        <f t="array" ref="F14">_xll.SMILES2IMG($B$2, , , "rot90")</f>
        <v>#VALUE!</v>
      </c>
      <c r="G14" s="4" t="s">
        <v>303</v>
      </c>
    </row>
    <row r="15" spans="1:7" ht="84.95" customHeight="1" x14ac:dyDescent="0.3">
      <c r="A15" s="6">
        <v>12</v>
      </c>
      <c r="B15" s="6" t="s">
        <v>304</v>
      </c>
      <c r="C15" s="4" t="s">
        <v>258</v>
      </c>
      <c r="D15" s="4" t="s">
        <v>305</v>
      </c>
      <c r="E15" s="5" t="s">
        <v>306</v>
      </c>
      <c r="F15" s="6" t="e" cm="1" vm="45">
        <f t="array" ref="F15">_xll.SMILES2IMG($B$2, , , "flip")</f>
        <v>#VALUE!</v>
      </c>
      <c r="G15" s="4" t="s">
        <v>307</v>
      </c>
    </row>
    <row r="16" spans="1:7" ht="84.95" customHeight="1" x14ac:dyDescent="0.3">
      <c r="A16" s="6">
        <v>13</v>
      </c>
      <c r="B16" s="6" t="s">
        <v>308</v>
      </c>
      <c r="C16" s="4" t="s">
        <v>291</v>
      </c>
      <c r="D16" s="4" t="s">
        <v>309</v>
      </c>
      <c r="E16" s="5" t="s">
        <v>310</v>
      </c>
      <c r="F16" s="6" t="e" cm="1" vm="25">
        <f t="array" ref="F16">_xll.SMILES2IMG($B$2, , , "flip rot90")</f>
        <v>#VALUE!</v>
      </c>
      <c r="G16" s="4" t="s">
        <v>311</v>
      </c>
    </row>
    <row r="17" spans="1:7" ht="84.95" customHeight="1" x14ac:dyDescent="0.3">
      <c r="A17" s="6">
        <v>14</v>
      </c>
      <c r="B17" s="6" t="s">
        <v>312</v>
      </c>
      <c r="C17" s="4" t="s">
        <v>291</v>
      </c>
      <c r="D17" s="4" t="s">
        <v>313</v>
      </c>
      <c r="E17" s="5" t="s">
        <v>314</v>
      </c>
      <c r="F17" s="6" t="e" cm="1" vm="26">
        <f t="array" ref="F17">_xll.SMILES2IMG($B$2, "white", "bw num stereo h all-c", "flip rot90")</f>
        <v>#VALUE!</v>
      </c>
      <c r="G17" s="4" t="s">
        <v>315</v>
      </c>
    </row>
    <row r="18" spans="1:7" ht="84.95" customHeight="1" x14ac:dyDescent="0.3">
      <c r="A18" s="6">
        <v>15</v>
      </c>
      <c r="B18" s="6" t="s">
        <v>316</v>
      </c>
      <c r="C18" s="4" t="s">
        <v>296</v>
      </c>
      <c r="D18" s="4" t="s">
        <v>317</v>
      </c>
      <c r="E18" s="5" t="s">
        <v>318</v>
      </c>
      <c r="F18" s="6" t="e" cm="1" vm="26">
        <f t="array" ref="F18">_xll.SMILES2IMG($B$2, "white", "bw|num|stereo|h|all-c", "flip rot90")</f>
        <v>#VALUE!</v>
      </c>
      <c r="G18" s="4" t="s">
        <v>319</v>
      </c>
    </row>
  </sheetData>
  <mergeCells count="1">
    <mergeCell ref="A1:G1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93F8E-2773-49B7-ADB5-2D346F45B4DF}">
  <dimension ref="A1:C48"/>
  <sheetViews>
    <sheetView workbookViewId="0"/>
  </sheetViews>
  <sheetFormatPr defaultRowHeight="16.5" x14ac:dyDescent="0.3"/>
  <cols>
    <col min="3" max="3" width="9" style="3"/>
  </cols>
  <sheetData>
    <row r="1" spans="1:3" x14ac:dyDescent="0.3">
      <c r="A1" t="s">
        <v>147</v>
      </c>
      <c r="B1" t="s">
        <v>148</v>
      </c>
      <c r="C1" s="3" t="s">
        <v>149</v>
      </c>
    </row>
    <row r="2" spans="1:3" x14ac:dyDescent="0.3">
      <c r="A2" t="e" vm="46">
        <v>#VALUE!</v>
      </c>
      <c r="B2" t="s">
        <v>150</v>
      </c>
      <c r="C2" s="3" t="s">
        <v>26</v>
      </c>
    </row>
    <row r="3" spans="1:3" x14ac:dyDescent="0.3">
      <c r="A3" t="e" vm="47">
        <v>#VALUE!</v>
      </c>
      <c r="B3" t="s">
        <v>151</v>
      </c>
      <c r="C3" s="3" t="s">
        <v>30</v>
      </c>
    </row>
    <row r="4" spans="1:3" x14ac:dyDescent="0.3">
      <c r="A4" t="e" vm="48">
        <v>#VALUE!</v>
      </c>
      <c r="B4" t="s">
        <v>152</v>
      </c>
      <c r="C4" s="3" t="s">
        <v>45</v>
      </c>
    </row>
    <row r="5" spans="1:3" x14ac:dyDescent="0.3">
      <c r="A5" t="e" vm="49">
        <v>#VALUE!</v>
      </c>
      <c r="B5" t="s">
        <v>153</v>
      </c>
      <c r="C5" s="3" t="s">
        <v>50</v>
      </c>
    </row>
    <row r="6" spans="1:3" x14ac:dyDescent="0.3">
      <c r="A6" t="e" vm="50">
        <v>#VALUE!</v>
      </c>
      <c r="B6" t="s">
        <v>155</v>
      </c>
      <c r="C6" s="3" t="s">
        <v>11</v>
      </c>
    </row>
    <row r="7" spans="1:3" x14ac:dyDescent="0.3">
      <c r="A7" t="e" vm="51">
        <v>#VALUE!</v>
      </c>
      <c r="B7" t="s">
        <v>156</v>
      </c>
      <c r="C7" s="3" t="s">
        <v>56</v>
      </c>
    </row>
    <row r="8" spans="1:3" x14ac:dyDescent="0.3">
      <c r="A8" t="e" vm="52">
        <v>#VALUE!</v>
      </c>
      <c r="B8" t="s">
        <v>157</v>
      </c>
      <c r="C8" s="3" t="s">
        <v>35</v>
      </c>
    </row>
    <row r="9" spans="1:3" x14ac:dyDescent="0.3">
      <c r="A9" t="e" vm="53">
        <v>#VALUE!</v>
      </c>
      <c r="B9" t="s">
        <v>158</v>
      </c>
      <c r="C9" s="3" t="s">
        <v>40</v>
      </c>
    </row>
    <row r="10" spans="1:3" x14ac:dyDescent="0.3">
      <c r="A10" t="e" vm="54">
        <v>#VALUE!</v>
      </c>
      <c r="B10" t="s">
        <v>159</v>
      </c>
      <c r="C10" s="3" t="s">
        <v>16</v>
      </c>
    </row>
    <row r="11" spans="1:3" x14ac:dyDescent="0.3">
      <c r="A11" t="e" vm="55">
        <v>#VALUE!</v>
      </c>
      <c r="B11" t="s">
        <v>160</v>
      </c>
      <c r="C11" s="3" t="s">
        <v>56</v>
      </c>
    </row>
    <row r="12" spans="1:3" x14ac:dyDescent="0.3">
      <c r="A12" t="e" vm="56">
        <v>#VALUE!</v>
      </c>
      <c r="B12" t="s">
        <v>161</v>
      </c>
      <c r="C12" s="3" t="s">
        <v>11</v>
      </c>
    </row>
    <row r="13" spans="1:3" x14ac:dyDescent="0.3">
      <c r="A13" t="e" vm="57">
        <v>#VALUE!</v>
      </c>
      <c r="B13" t="s">
        <v>162</v>
      </c>
      <c r="C13" s="3" t="s">
        <v>91</v>
      </c>
    </row>
    <row r="14" spans="1:3" x14ac:dyDescent="0.3">
      <c r="A14" t="e" vm="58">
        <v>#VALUE!</v>
      </c>
      <c r="B14" t="s">
        <v>163</v>
      </c>
      <c r="C14" s="3" t="s">
        <v>56</v>
      </c>
    </row>
    <row r="15" spans="1:3" x14ac:dyDescent="0.3">
      <c r="A15" t="e" vm="59">
        <v>#VALUE!</v>
      </c>
      <c r="B15" t="s">
        <v>164</v>
      </c>
      <c r="C15" s="3" t="s">
        <v>16</v>
      </c>
    </row>
    <row r="16" spans="1:3" x14ac:dyDescent="0.3">
      <c r="A16" t="e" vm="60">
        <v>#VALUE!</v>
      </c>
      <c r="B16" t="s">
        <v>165</v>
      </c>
      <c r="C16" s="3" t="s">
        <v>61</v>
      </c>
    </row>
    <row r="17" spans="1:3" x14ac:dyDescent="0.3">
      <c r="A17" t="e" vm="61">
        <v>#VALUE!</v>
      </c>
      <c r="B17" t="s">
        <v>166</v>
      </c>
      <c r="C17" s="3" t="s">
        <v>30</v>
      </c>
    </row>
    <row r="18" spans="1:3" x14ac:dyDescent="0.3">
      <c r="A18" t="e" vm="62">
        <v>#VALUE!</v>
      </c>
      <c r="B18" t="s">
        <v>167</v>
      </c>
      <c r="C18" s="3" t="s">
        <v>91</v>
      </c>
    </row>
    <row r="19" spans="1:3" x14ac:dyDescent="0.3">
      <c r="A19" t="e" vm="63">
        <v>#VALUE!</v>
      </c>
      <c r="B19" t="s">
        <v>168</v>
      </c>
      <c r="C19" s="3" t="s">
        <v>56</v>
      </c>
    </row>
    <row r="20" spans="1:3" x14ac:dyDescent="0.3">
      <c r="A20" t="e" vm="64">
        <v>#VALUE!</v>
      </c>
      <c r="B20" t="s">
        <v>169</v>
      </c>
      <c r="C20" s="3" t="s">
        <v>100</v>
      </c>
    </row>
    <row r="21" spans="1:3" x14ac:dyDescent="0.3">
      <c r="A21" t="e" vm="65">
        <v>#VALUE!</v>
      </c>
      <c r="B21" t="s">
        <v>170</v>
      </c>
      <c r="C21" s="3" t="s">
        <v>56</v>
      </c>
    </row>
    <row r="22" spans="1:3" x14ac:dyDescent="0.3">
      <c r="A22" t="e" vm="66">
        <v>#VALUE!</v>
      </c>
      <c r="B22" t="s">
        <v>171</v>
      </c>
      <c r="C22" s="3" t="s">
        <v>35</v>
      </c>
    </row>
    <row r="23" spans="1:3" x14ac:dyDescent="0.3">
      <c r="A23" t="e" vm="67">
        <v>#VALUE!</v>
      </c>
      <c r="B23" t="s">
        <v>172</v>
      </c>
      <c r="C23" s="3" t="s">
        <v>118</v>
      </c>
    </row>
    <row r="24" spans="1:3" x14ac:dyDescent="0.3">
      <c r="A24" t="e" vm="68">
        <v>#VALUE!</v>
      </c>
      <c r="B24" t="s">
        <v>173</v>
      </c>
      <c r="C24" s="3" t="s">
        <v>11</v>
      </c>
    </row>
    <row r="25" spans="1:3" x14ac:dyDescent="0.3">
      <c r="A25" t="e" vm="69">
        <v>#VALUE!</v>
      </c>
      <c r="B25" t="s">
        <v>174</v>
      </c>
      <c r="C25" s="3" t="s">
        <v>21</v>
      </c>
    </row>
    <row r="26" spans="1:3" x14ac:dyDescent="0.3">
      <c r="A26" t="e" vm="70">
        <v>#VALUE!</v>
      </c>
      <c r="B26" t="s">
        <v>175</v>
      </c>
      <c r="C26" s="3" t="s">
        <v>56</v>
      </c>
    </row>
    <row r="27" spans="1:3" x14ac:dyDescent="0.3">
      <c r="A27" t="e" vm="71">
        <v>#VALUE!</v>
      </c>
      <c r="B27" t="s">
        <v>176</v>
      </c>
      <c r="C27" s="3" t="s">
        <v>21</v>
      </c>
    </row>
    <row r="28" spans="1:3" x14ac:dyDescent="0.3">
      <c r="A28" t="e" vm="72">
        <v>#VALUE!</v>
      </c>
      <c r="B28" t="s">
        <v>177</v>
      </c>
      <c r="C28" s="3" t="s">
        <v>61</v>
      </c>
    </row>
    <row r="29" spans="1:3" x14ac:dyDescent="0.3">
      <c r="A29" t="e" vm="73">
        <v>#VALUE!</v>
      </c>
      <c r="B29" t="s">
        <v>320</v>
      </c>
      <c r="C29" s="3" t="s">
        <v>186</v>
      </c>
    </row>
    <row r="30" spans="1:3" x14ac:dyDescent="0.3">
      <c r="A30" t="e" vm="74">
        <v>#VALUE!</v>
      </c>
      <c r="B30" t="s">
        <v>321</v>
      </c>
      <c r="C30" s="3" t="s">
        <v>201</v>
      </c>
    </row>
    <row r="31" spans="1:3" x14ac:dyDescent="0.3">
      <c r="A31" t="e" vm="75">
        <v>#VALUE!</v>
      </c>
      <c r="B31" t="s">
        <v>322</v>
      </c>
      <c r="C31" s="3" t="s">
        <v>118</v>
      </c>
    </row>
    <row r="32" spans="1:3" x14ac:dyDescent="0.3">
      <c r="A32" t="e" vm="76">
        <v>#VALUE!</v>
      </c>
      <c r="B32" t="s">
        <v>323</v>
      </c>
      <c r="C32" s="3" t="s">
        <v>211</v>
      </c>
    </row>
    <row r="33" spans="1:3" x14ac:dyDescent="0.3">
      <c r="A33" t="e" vm="77">
        <v>#VALUE!</v>
      </c>
      <c r="B33" t="s">
        <v>324</v>
      </c>
      <c r="C33" s="3" t="s">
        <v>45</v>
      </c>
    </row>
    <row r="34" spans="1:3" x14ac:dyDescent="0.3">
      <c r="A34" t="e" vm="78">
        <v>#VALUE!</v>
      </c>
      <c r="B34" t="s">
        <v>325</v>
      </c>
      <c r="C34" s="3" t="s">
        <v>192</v>
      </c>
    </row>
    <row r="35" spans="1:3" x14ac:dyDescent="0.3">
      <c r="A35" t="e" vm="79">
        <v>#VALUE!</v>
      </c>
      <c r="B35" t="s">
        <v>326</v>
      </c>
      <c r="C35" s="3" t="s">
        <v>217</v>
      </c>
    </row>
    <row r="36" spans="1:3" x14ac:dyDescent="0.3">
      <c r="A36" t="e" vm="80">
        <v>#VALUE!</v>
      </c>
      <c r="B36" t="s">
        <v>327</v>
      </c>
      <c r="C36" s="3" t="s">
        <v>223</v>
      </c>
    </row>
    <row r="37" spans="1:3" x14ac:dyDescent="0.3">
      <c r="A37" t="e" vm="81">
        <v>#VALUE!</v>
      </c>
      <c r="B37" t="s">
        <v>328</v>
      </c>
      <c r="C37" s="3" t="s">
        <v>229</v>
      </c>
    </row>
    <row r="38" spans="1:3" x14ac:dyDescent="0.3">
      <c r="A38" t="e" vm="82">
        <v>#VALUE!</v>
      </c>
      <c r="B38" t="s">
        <v>329</v>
      </c>
      <c r="C38" s="3" t="s">
        <v>245</v>
      </c>
    </row>
    <row r="39" spans="1:3" x14ac:dyDescent="0.3">
      <c r="A39" t="e" vm="83">
        <v>#VALUE!</v>
      </c>
      <c r="B39" t="s">
        <v>330</v>
      </c>
      <c r="C39" s="3" t="s">
        <v>100</v>
      </c>
    </row>
    <row r="40" spans="1:3" x14ac:dyDescent="0.3">
      <c r="A40" t="e" vm="84">
        <v>#VALUE!</v>
      </c>
      <c r="B40" t="s">
        <v>331</v>
      </c>
      <c r="C40" s="3" t="s">
        <v>235</v>
      </c>
    </row>
    <row r="41" spans="1:3" x14ac:dyDescent="0.3">
      <c r="A41" t="e" vm="85">
        <v>#VALUE!</v>
      </c>
      <c r="B41" t="s">
        <v>332</v>
      </c>
      <c r="C41" s="3" t="s">
        <v>56</v>
      </c>
    </row>
    <row r="42" spans="1:3" x14ac:dyDescent="0.3">
      <c r="A42" t="e" vm="86">
        <v>#VALUE!</v>
      </c>
      <c r="B42" t="s">
        <v>333</v>
      </c>
      <c r="C42" s="3" t="s">
        <v>56</v>
      </c>
    </row>
    <row r="43" spans="1:3" x14ac:dyDescent="0.3">
      <c r="A43" t="e" vm="85">
        <v>#VALUE!</v>
      </c>
      <c r="B43" t="s">
        <v>334</v>
      </c>
      <c r="C43" s="3" t="s">
        <v>56</v>
      </c>
    </row>
    <row r="44" spans="1:3" x14ac:dyDescent="0.3">
      <c r="A44" t="e" vm="87">
        <v>#VALUE!</v>
      </c>
      <c r="B44" t="s">
        <v>335</v>
      </c>
      <c r="C44" s="3" t="s">
        <v>56</v>
      </c>
    </row>
    <row r="45" spans="1:3" x14ac:dyDescent="0.3">
      <c r="A45" t="e" vm="88">
        <v>#VALUE!</v>
      </c>
      <c r="B45" t="s">
        <v>336</v>
      </c>
      <c r="C45" s="3" t="s">
        <v>56</v>
      </c>
    </row>
    <row r="46" spans="1:3" x14ac:dyDescent="0.3">
      <c r="A46" t="e" vm="89">
        <v>#VALUE!</v>
      </c>
      <c r="B46" t="s">
        <v>337</v>
      </c>
      <c r="C46" s="3" t="s">
        <v>56</v>
      </c>
    </row>
    <row r="47" spans="1:3" x14ac:dyDescent="0.3">
      <c r="A47" t="e" vm="70">
        <v>#VALUE!</v>
      </c>
      <c r="B47" t="s">
        <v>338</v>
      </c>
      <c r="C47" s="3" t="s">
        <v>56</v>
      </c>
    </row>
    <row r="48" spans="1:3" x14ac:dyDescent="0.3">
      <c r="A48" t="e" vm="90">
        <v>#VALUE!</v>
      </c>
      <c r="B48" t="s">
        <v>339</v>
      </c>
      <c r="C48" s="3" t="s">
        <v>56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SMILES2IMG (In-Cell 365)</vt:lpstr>
      <vt:lpstr>SMILES2IMG.FLOAT (Excel 2016+)</vt:lpstr>
      <vt:lpstr>Complex Natural Products</vt:lpstr>
      <vt:lpstr>Style &amp; Transform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주호 김</dc:creator>
  <cp:lastModifiedBy>주호 김</cp:lastModifiedBy>
  <dcterms:created xsi:type="dcterms:W3CDTF">2026-10-06T14:47:08Z</dcterms:created>
  <dcterms:modified xsi:type="dcterms:W3CDTF">2026-10-06T14:48:12Z</dcterms:modified>
</cp:coreProperties>
</file>