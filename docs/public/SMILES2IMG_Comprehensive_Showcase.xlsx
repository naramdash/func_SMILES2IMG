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juho\Projects\func_SMILES2IMG\"/>
    </mc:Choice>
  </mc:AlternateContent>
  <xr:revisionPtr revIDLastSave="0" documentId="8_{02B5898F-D95B-42F6-B8F4-956FEF784E5C}" xr6:coauthVersionLast="47" xr6:coauthVersionMax="47" xr10:uidLastSave="{00000000-0000-0000-0000-000000000000}"/>
  <bookViews>
    <workbookView xWindow="2205" yWindow="2205" windowWidth="16200" windowHeight="9307" xr2:uid="{68685B9E-4834-4A9D-AF7D-73CB67AD93E6}"/>
  </bookViews>
  <sheets>
    <sheet name="0. Quick Guide" sheetId="8" r:id="rId1"/>
    <sheet name="1. Structure to Image" sheetId="7" r:id="rId2"/>
    <sheet name="2. Molecular Properties" sheetId="6" r:id="rId3"/>
    <sheet name="3. Substructure &amp; Similarity" sheetId="5" r:id="rId4"/>
    <sheet name="4. Drawing Styles &amp; Options" sheetId="4" r:id="rId5"/>
    <sheet name="5. Reactions &amp; KET Canvas" sheetId="3" r:id="rId6"/>
    <sheet name="6. Legacy Excel (.FLOAT)" sheetId="2" r:id="rId7"/>
    <sheet name="7. 3D &amp; Ribbon Tools" sheetId="1" r:id="rId8"/>
    <sheet name="__SMILES2IMG" sheetId="9" state="very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2" l="1" a="1"/>
  <c r="G5" i="2" a="1"/>
  <c r="G6" i="2" a="1"/>
  <c r="G7" i="2" a="1"/>
  <c r="G8" i="2" a="1"/>
  <c r="G9" i="2" a="1"/>
  <c r="G10" i="2" a="1"/>
  <c r="G11" i="2" a="1"/>
  <c r="G12" i="2" a="1"/>
  <c r="G13" i="2" a="1"/>
  <c r="E5" i="3" a="1"/>
  <c r="E4" i="3" a="1"/>
  <c r="E6" i="3" a="1"/>
  <c r="E7" i="3" a="1"/>
  <c r="E8" i="3" a="1"/>
  <c r="F20" i="4" a="1"/>
  <c r="F19" i="4" a="1"/>
  <c r="F18" i="4" a="1"/>
  <c r="F17" i="4" a="1"/>
  <c r="F16" i="4" a="1"/>
  <c r="F15" i="4" a="1"/>
  <c r="F14" i="4" a="1"/>
  <c r="F13" i="4" a="1"/>
  <c r="F12" i="4" a="1"/>
  <c r="F11" i="4" a="1"/>
  <c r="F10" i="4" a="1"/>
  <c r="F8" i="4" a="1"/>
  <c r="F6" i="4" a="1"/>
  <c r="F5" i="4" a="1"/>
  <c r="F7" i="4" a="1"/>
  <c r="F9" i="4" a="1"/>
  <c r="E14" i="5" a="1"/>
  <c r="E12" i="5" a="1"/>
  <c r="E11" i="5" a="1"/>
  <c r="E10" i="5" a="1"/>
  <c r="E9" i="5" a="1"/>
  <c r="E7" i="5" a="1"/>
  <c r="E6" i="5" a="1"/>
  <c r="E5" i="5" a="1"/>
  <c r="E8" i="5" a="1"/>
  <c r="E13" i="5" a="1"/>
  <c r="F5" i="5" a="1"/>
  <c r="F6" i="5" a="1"/>
  <c r="F7" i="5" a="1"/>
  <c r="F8" i="5" a="1"/>
  <c r="F9" i="5" a="1"/>
  <c r="F10" i="5" a="1"/>
  <c r="F11" i="5" a="1"/>
  <c r="F12" i="5" a="1"/>
  <c r="F13" i="5" a="1"/>
  <c r="F14" i="5" a="1"/>
  <c r="D5" i="5" a="1"/>
  <c r="D6" i="5" a="1"/>
  <c r="D7" i="5" a="1"/>
  <c r="D8" i="5" a="1"/>
  <c r="D9" i="5" a="1"/>
  <c r="D10" i="5" a="1"/>
  <c r="D11" i="5" a="1"/>
  <c r="D12" i="5" a="1"/>
  <c r="D13" i="5" a="1"/>
  <c r="D14" i="5" a="1"/>
  <c r="J4" i="6" a="1"/>
  <c r="J5" i="6" a="1"/>
  <c r="J6" i="6" a="1"/>
  <c r="J7" i="6" a="1"/>
  <c r="J8" i="6" a="1"/>
  <c r="J9" i="6" a="1"/>
  <c r="J10" i="6" a="1"/>
  <c r="J11" i="6" a="1"/>
  <c r="J12" i="6" a="1"/>
  <c r="J13" i="6" a="1"/>
  <c r="J14" i="6" a="1"/>
  <c r="J15" i="6" a="1"/>
  <c r="L4" i="6" a="1"/>
  <c r="L5" i="6" a="1"/>
  <c r="L6" i="6" a="1"/>
  <c r="L7" i="6" a="1"/>
  <c r="L8" i="6" a="1"/>
  <c r="L9" i="6" a="1"/>
  <c r="L10" i="6" a="1"/>
  <c r="L11" i="6" a="1"/>
  <c r="L12" i="6" a="1"/>
  <c r="L13" i="6" a="1"/>
  <c r="L14" i="6" a="1"/>
  <c r="L15" i="6" a="1"/>
  <c r="H4" i="6" a="1"/>
  <c r="H5" i="6" a="1"/>
  <c r="H6" i="6" a="1"/>
  <c r="H7" i="6" a="1"/>
  <c r="H8" i="6" a="1"/>
  <c r="H9" i="6" a="1"/>
  <c r="H10" i="6" a="1"/>
  <c r="H11" i="6" a="1"/>
  <c r="H12" i="6" a="1"/>
  <c r="H13" i="6" a="1"/>
  <c r="H14" i="6" a="1"/>
  <c r="H15" i="6" a="1"/>
  <c r="K4" i="6" a="1"/>
  <c r="K5" i="6" a="1"/>
  <c r="K6" i="6" a="1"/>
  <c r="K7" i="6" a="1"/>
  <c r="K8" i="6" a="1"/>
  <c r="K9" i="6" a="1"/>
  <c r="K10" i="6" a="1"/>
  <c r="K11" i="6" a="1"/>
  <c r="K12" i="6" a="1"/>
  <c r="K13" i="6" a="1"/>
  <c r="K14" i="6" a="1"/>
  <c r="K15" i="6" a="1"/>
  <c r="I4" i="6" a="1"/>
  <c r="I5" i="6" a="1"/>
  <c r="I6" i="6" a="1"/>
  <c r="I7" i="6" a="1"/>
  <c r="I8" i="6" a="1"/>
  <c r="I9" i="6" a="1"/>
  <c r="I10" i="6" a="1"/>
  <c r="I11" i="6" a="1"/>
  <c r="I12" i="6" a="1"/>
  <c r="I13" i="6" a="1"/>
  <c r="I14" i="6" a="1"/>
  <c r="I15" i="6" a="1"/>
  <c r="F4" i="6" a="1"/>
  <c r="F5" i="6" a="1"/>
  <c r="F6" i="6" a="1"/>
  <c r="F7" i="6" a="1"/>
  <c r="F8" i="6" a="1"/>
  <c r="F9" i="6" a="1"/>
  <c r="F10" i="6" a="1"/>
  <c r="F11" i="6" a="1"/>
  <c r="F12" i="6" a="1"/>
  <c r="F13" i="6" a="1"/>
  <c r="F14" i="6" a="1"/>
  <c r="F15" i="6" a="1"/>
  <c r="G4" i="6" a="1"/>
  <c r="G5" i="6" a="1"/>
  <c r="G6" i="6" a="1"/>
  <c r="G7" i="6" a="1"/>
  <c r="G8" i="6" a="1"/>
  <c r="G9" i="6" a="1"/>
  <c r="G10" i="6" a="1"/>
  <c r="G11" i="6" a="1"/>
  <c r="G12" i="6" a="1"/>
  <c r="G13" i="6" a="1"/>
  <c r="G14" i="6" a="1"/>
  <c r="G15" i="6" a="1"/>
  <c r="D14" i="6" a="1"/>
  <c r="D13" i="6" a="1"/>
  <c r="D12" i="6" a="1"/>
  <c r="D11" i="6" a="1"/>
  <c r="D10" i="6" a="1"/>
  <c r="D9" i="6" a="1"/>
  <c r="D8" i="6" a="1"/>
  <c r="D15" i="6" a="1"/>
  <c r="D7" i="6" a="1"/>
  <c r="D6" i="6" a="1"/>
  <c r="D5" i="6" a="1"/>
  <c r="E11" i="7" a="1"/>
  <c r="E14" i="7" a="1"/>
  <c r="E15" i="7" a="1"/>
  <c r="E13" i="7" a="1"/>
  <c r="E12" i="7" a="1"/>
  <c r="D4" i="6" a="1"/>
  <c r="E4" i="6" a="1"/>
  <c r="E5" i="6" a="1"/>
  <c r="E6" i="6" a="1"/>
  <c r="E7" i="6" a="1"/>
  <c r="E8" i="6" a="1"/>
  <c r="E9" i="6" a="1"/>
  <c r="E10" i="6" a="1"/>
  <c r="E11" i="6" a="1"/>
  <c r="E12" i="6" a="1"/>
  <c r="E13" i="6" a="1"/>
  <c r="E14" i="6" a="1"/>
  <c r="E15" i="6" a="1"/>
  <c r="M4" i="6" a="1"/>
  <c r="M5" i="6" a="1"/>
  <c r="M6" i="6" a="1"/>
  <c r="M7" i="6" a="1"/>
  <c r="M8" i="6" a="1"/>
  <c r="M9" i="6" a="1"/>
  <c r="M10" i="6" a="1"/>
  <c r="M11" i="6" a="1"/>
  <c r="M12" i="6" a="1"/>
  <c r="M13" i="6" a="1"/>
  <c r="M14" i="6" a="1"/>
  <c r="M15" i="6" a="1"/>
  <c r="F4" i="7" a="1"/>
  <c r="F5" i="7" a="1"/>
  <c r="F6" i="7" a="1"/>
  <c r="F7" i="7" a="1"/>
  <c r="F8" i="7" a="1"/>
  <c r="F9" i="7" a="1"/>
  <c r="F10" i="7" a="1"/>
  <c r="E4" i="7" a="1"/>
  <c r="E5" i="7" a="1"/>
  <c r="E6" i="7" a="1"/>
  <c r="E7" i="7" a="1"/>
  <c r="E8" i="7" a="1"/>
  <c r="E9" i="7" a="1"/>
  <c r="E10" i="7" a="1"/>
  <c r="G4" i="7" a="1"/>
  <c r="G5" i="7" a="1"/>
  <c r="G6" i="7" a="1"/>
  <c r="G7" i="7" a="1"/>
  <c r="G11" i="7" a="1"/>
  <c r="G12" i="7" a="1"/>
  <c r="G13" i="7" a="1"/>
  <c r="G14" i="7" a="1"/>
  <c r="E13" i="8" a="1"/>
  <c r="E11" i="8" a="1"/>
  <c r="E12" i="8" a="1"/>
  <c r="E6" i="8" a="1"/>
  <c r="E4" i="8" a="1"/>
  <c r="E5" i="8" a="1"/>
  <c r="E7" i="8" a="1"/>
  <c r="E8" i="8" a="1"/>
  <c r="E9" i="8" a="1"/>
  <c r="E10" i="8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</futureMetadata>
  <cellMetadata count="1">
    <bk>
      <rc t="1" v="0"/>
    </bk>
  </cellMetadata>
  <valueMetadata count="7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</valueMetadata>
</metadata>
</file>

<file path=xl/sharedStrings.xml><?xml version="1.0" encoding="utf-8"?>
<sst xmlns="http://schemas.openxmlformats.org/spreadsheetml/2006/main" count="577" uniqueCount="412">
  <si>
    <t>func_SMILES2IMG — Master Interactive Guide &amp; Function Sandbox</t>
  </si>
  <si>
    <t>💡 Tip: Double-click any cell or structure picture to sketch in Ketcher 2D! All formulas evaluate 100% locally with zero cloud requests.</t>
  </si>
  <si>
    <t>No.</t>
  </si>
  <si>
    <t>Feature Category</t>
  </si>
  <si>
    <t>Compound / Input</t>
  </si>
  <si>
    <t>Formula (Plain Text)</t>
  </si>
  <si>
    <t>Live Working Result (In-Cell)</t>
  </si>
  <si>
    <t>Keyboard Shortcut / Action</t>
  </si>
  <si>
    <t>Key Capability &amp; Tips</t>
  </si>
  <si>
    <t>1. Chemical Name Lookup</t>
  </si>
  <si>
    <t>Aspirin</t>
  </si>
  <si>
    <t>=NAME2IMG("Aspirin")</t>
  </si>
  <si>
    <t>Type formula &amp; press Enter</t>
  </si>
  <si>
    <t>Auto-renders 2D structure from PubChem common chemical name</t>
  </si>
  <si>
    <t>2. CAS Registry Lookup</t>
  </si>
  <si>
    <t>58-08-2</t>
  </si>
  <si>
    <t>=NAME2IMG("58-08-2")</t>
  </si>
  <si>
    <t>Auto-renders Caffeine structure directly from standard CAS number</t>
  </si>
  <si>
    <t>3. Chemical SMILES String</t>
  </si>
  <si>
    <t>CC(=O)Oc1ccccc1C(=O)O</t>
  </si>
  <si>
    <t>=SMILES2IMG(C6)</t>
  </si>
  <si>
    <t>Standard native in-cell picture scaling with row &amp; column resize</t>
  </si>
  <si>
    <t>4. Molecular Weight (MW)</t>
  </si>
  <si>
    <t>=SMILES2MW(C7)</t>
  </si>
  <si>
    <t>Cell formula</t>
  </si>
  <si>
    <t>Zero-lag in-memory molecular weight calculation (180.16 g/mol)</t>
  </si>
  <si>
    <t>5. Chemical Formula</t>
  </si>
  <si>
    <t>=SMILES2FORMULA(C8)</t>
  </si>
  <si>
    <t>Calculates Hill chemical formula (C9H8O4) locally with zero lag</t>
  </si>
  <si>
    <t>6. Lipinski Rule of 5</t>
  </si>
  <si>
    <t>=SMILES2LIPINSKI(C9)</t>
  </si>
  <si>
    <t>Screens oral bioavailability: Pass (0 violations) or lists rule failures</t>
  </si>
  <si>
    <t>7. Substructure Match</t>
  </si>
  <si>
    <t>=SMILES.MATCH(C10, "c1ccccc1")</t>
  </si>
  <si>
    <t>Fast subgraph isomorphism check: TRUE if benzene ring is present</t>
  </si>
  <si>
    <t>8. 2D Sketcher In-Place</t>
  </si>
  <si>
    <t>Any Molecule Cell</t>
  </si>
  <si>
    <t>Double-Click Any Cell</t>
  </si>
  <si>
    <t>Double-Click or Ctrl+Shift+K</t>
  </si>
  <si>
    <t>Opens Ketcher 2D Editor in 0.05s; edit bonds and click Apply</t>
  </si>
  <si>
    <t>9. 3D Protein Embedding</t>
  </si>
  <si>
    <t>PDB ID: 1CRN</t>
  </si>
  <si>
    <t>Ribbon -&gt; [SMILES] -&gt; Mol*</t>
  </si>
  <si>
    <t>Click Ribbon [SMILES] Tab</t>
  </si>
  <si>
    <t>Embed rotatable 3D macromolecules &amp; complexes into Office slides/cells</t>
  </si>
  <si>
    <t>10. ACS B&amp;W &amp; SVG Copy</t>
  </si>
  <si>
    <t>Selected Molecules</t>
  </si>
  <si>
    <t>Right-Click -&gt; Chemical Structure</t>
  </si>
  <si>
    <t>Right-Click Context Menu</t>
  </si>
  <si>
    <t>Copy crisp vector SVG for Illustrator or 1-click batch B&amp;W style</t>
  </si>
  <si>
    <t>Image</t>
  </si>
  <si>
    <t>Key</t>
  </si>
  <si>
    <t>SMILES</t>
  </si>
  <si>
    <t>C_06563901B12EB9F5F3C51D42BF5ED16A7C9B3E08</t>
  </si>
  <si>
    <t>C_BG-white_5B63F822890A602408A310D1AF5AA070F306F4BE</t>
  </si>
  <si>
    <t>CC(=O)Nc1ccc(O)cc1</t>
  </si>
  <si>
    <t>C_STR_06563901B12EB9F5F3C51D42BF5ED16A7C9B3E08</t>
  </si>
  <si>
    <t>BW_06563901B12EB9F5F3C51D42BF5ED16A7C9B3E08</t>
  </si>
  <si>
    <t>1. Chemical Structure Auto-Rendering (=NAME2IMG, =SMILES2IMG &amp; =INCHI2IMG)</t>
  </si>
  <si>
    <t>💡 Tip: Drag formulas down hundreds of rows to automatically convert chemical catalogs or compound lists into high-resolution structures.</t>
  </si>
  <si>
    <t>Input Category</t>
  </si>
  <si>
    <t>Compound Input (Name / CAS / SMILES / InChI)</t>
  </si>
  <si>
    <t>Formula Syntax (Text)</t>
  </si>
  <si>
    <t>Rendered 2D Structure (In-Cell)</t>
  </si>
  <si>
    <t>Resolved Canonical SMILES</t>
  </si>
  <si>
    <t>Resolved Common Name</t>
  </si>
  <si>
    <t>Application &amp; Structural Highlights</t>
  </si>
  <si>
    <t>Common Name</t>
  </si>
  <si>
    <t>=NAME2IMG(C4)</t>
  </si>
  <si>
    <t>Acetylsalicylic acid — NSAID analgesic and antipyretic drug</t>
  </si>
  <si>
    <t>Ibuprofen</t>
  </si>
  <si>
    <t>=NAME2IMG(C5)</t>
  </si>
  <si>
    <t>Propionic acid derivative NSAID with asymmetric chiral center</t>
  </si>
  <si>
    <t>Caffeine</t>
  </si>
  <si>
    <t>=NAME2IMG(C6)</t>
  </si>
  <si>
    <t>Purine alkaloid CNS stimulant from coffee beans and tea</t>
  </si>
  <si>
    <t>Paracetamol</t>
  </si>
  <si>
    <t>=NAME2IMG(C7)</t>
  </si>
  <si>
    <t>Acetaminophen — Para-acetylaminophenol analgesic</t>
  </si>
  <si>
    <t>CAS Number</t>
  </si>
  <si>
    <t>50-78-2</t>
  </si>
  <si>
    <t>=NAME2IMG(C8)</t>
  </si>
  <si>
    <t>Aspirin CAS registry number lookup without knowing SMILES</t>
  </si>
  <si>
    <t>=NAME2IMG(C9)</t>
  </si>
  <si>
    <t>Caffeine CAS registry number lookup</t>
  </si>
  <si>
    <t>103-90-2</t>
  </si>
  <si>
    <t>=NAME2IMG(C10)</t>
  </si>
  <si>
    <t>Acetaminophen</t>
  </si>
  <si>
    <t>Paracetamol / Acetaminophen CAS lookup</t>
  </si>
  <si>
    <t>SMILES String</t>
  </si>
  <si>
    <t>c1ccccc1</t>
  </si>
  <si>
    <t>=SMILES2IMG(C11)</t>
  </si>
  <si>
    <t>Benzene — Fundamental aromatic ring core with alternating double bonds</t>
  </si>
  <si>
    <t>CCO</t>
  </si>
  <si>
    <t>=SMILES2IMG(C12)</t>
  </si>
  <si>
    <t>Ethanol — Primary aliphatic alcohol</t>
  </si>
  <si>
    <t>CN1CCC[C@H]1c2cccnc2</t>
  </si>
  <si>
    <t>=SMILES2IMG(C13)</t>
  </si>
  <si>
    <t>Nicotine — Tobacco alkaloid with chiral pyrrolidine and pyridine rings</t>
  </si>
  <si>
    <t>CC(=O)C</t>
  </si>
  <si>
    <t>=SMILES2IMG(C14)</t>
  </si>
  <si>
    <t>Acetone — Simple ketone organic solvent</t>
  </si>
  <si>
    <t>InChI String</t>
  </si>
  <si>
    <t>InChI=1S/C8H10N4O2/c1-10-4-9-6-5(10)7(13)12(3)8(14)11(6)2/h4H,1-3H3</t>
  </si>
  <si>
    <t>=INCHI2IMG(C15)</t>
  </si>
  <si>
    <t>Cn1cnc2c1c(=O)n(C)c(=O)n2C</t>
  </si>
  <si>
    <t>Direct rendering from official IUPAC standard InChI string</t>
  </si>
  <si>
    <t>2. Physicochemical Properties &amp; Lipinski Rule of 5 SAR Screening</t>
  </si>
  <si>
    <t>💡 Lipinski Rule of 5 Criteria: MW &lt;= 500 Da | LogP &lt;= 5.0 | HBD &lt;= 5 | HBA &lt;= 10 | RotBonds &lt;= 10. All calculated instantly (0ms) in Excel.</t>
  </si>
  <si>
    <t>Drug Name</t>
  </si>
  <si>
    <t>2D Structure</t>
  </si>
  <si>
    <t>Formula</t>
  </si>
  <si>
    <t>MW (g/mol)</t>
  </si>
  <si>
    <t>Exact Mass</t>
  </si>
  <si>
    <t>LogP</t>
  </si>
  <si>
    <t>TPSA (Å²)</t>
  </si>
  <si>
    <t>HBD</t>
  </si>
  <si>
    <t>HBA</t>
  </si>
  <si>
    <t>RotBonds</t>
  </si>
  <si>
    <t>Lipinski Ro5 Assessment</t>
  </si>
  <si>
    <t>Pharmacology &amp; Significance</t>
  </si>
  <si>
    <t>Oral NSAID analgesic; 0 Ro5 violations</t>
  </si>
  <si>
    <t>CC(C)Cc1ccc(cc1)[C@@H](C)C(=O)O</t>
  </si>
  <si>
    <t>Anti-inflammatory blockbuster; 0 Ro5 violations</t>
  </si>
  <si>
    <t>Purine alkaloid stimulant; 0 Ro5 violations</t>
  </si>
  <si>
    <t>Over-the-counter analgesic; 0 Ro5 violations</t>
  </si>
  <si>
    <t>Penicillin G</t>
  </si>
  <si>
    <t>CC1(C(N2C(S1)C(C2=O)NC(=O)Cc3ccccc3)C(=O)O)C</t>
  </si>
  <si>
    <t>Beta-lactam antibiotic; 0 Ro5 violations</t>
  </si>
  <si>
    <t>Morphine</t>
  </si>
  <si>
    <t>CN1CC[C@]23[C@@H]4Oc5c3c(CC1[C@@H]2C=C[C@@H]4O)ccc5O</t>
  </si>
  <si>
    <t>Potent central opioid alkaloid; 0 Ro5 violations</t>
  </si>
  <si>
    <t>Dopamine</t>
  </si>
  <si>
    <t>NCCc1ccc(O)c(O)c1</t>
  </si>
  <si>
    <t>Essential reward neurotransmitter; 0 Ro5 violations</t>
  </si>
  <si>
    <t>Nicotine</t>
  </si>
  <si>
    <t>Potent cholinergic stimulant; 0 Ro5 violations</t>
  </si>
  <si>
    <t>Artemisinin</t>
  </si>
  <si>
    <t>CC1CC2CC3(C)OO4C(O2)(C1C(=O)O3)C(C)CC4</t>
  </si>
  <si>
    <t>Nobel Prize antimalarial natural product; 0 Ro5 violations</t>
  </si>
  <si>
    <t>Cholesterol</t>
  </si>
  <si>
    <t>CC(C)CCCC(C)C1CCC2C1(CCC3C2CC=C4C3(CCC(C4)O)C)C</t>
  </si>
  <si>
    <t>Lipid sterol; violates Ro5 due to high LogP (&gt;5)</t>
  </si>
  <si>
    <t>Atorvastatin</t>
  </si>
  <si>
    <t>CC(C)c1c(c(c(c1NC(=O)c2ccccc2)c3ccc(cc3)F)c4ccccc4)CC(O)CC(O)CC(=O)O</t>
  </si>
  <si>
    <t>Lipitor statin; violates Ro5 due to MW (&gt;500)</t>
  </si>
  <si>
    <t>Paclitaxel</t>
  </si>
  <si>
    <t>CC1=C2C(C(=O)C3(C(CC4C(C3C(C(C2(C)C)(CC1OC(=O)C(C(c5ccccc5)NC(=O)c6ccccc6)O)O)OC(=O)c7ccccc7)(CO4)OC(=O)C)O)C)OC(=O)C</t>
  </si>
  <si>
    <t>Chemotherapy blockbuster (Taxol); violates multiple Ro5 criteria</t>
  </si>
  <si>
    <t>C_89B394FD02E5E5E60AE1E167780EA7AB3276288E</t>
  </si>
  <si>
    <t>C_92E6F1DD547521139488FE5C23520B922D08B4DD</t>
  </si>
  <si>
    <t>C_6D806836A9151DB0B1F6230F3954CC299F40FC67</t>
  </si>
  <si>
    <t>C_9489A462BE5E1F77C65B323F6F113BA011141BC2</t>
  </si>
  <si>
    <t>C_8448043181B9A6B0A233076FE50A805A66AA244A</t>
  </si>
  <si>
    <t>C_5B02A5748FAEE5D648FCDAF68D9AC6490DA9E60A</t>
  </si>
  <si>
    <t>C_6D3D2F1CDA2897FDB220F4E1E87B3BFEB363DF07</t>
  </si>
  <si>
    <t>C_5B63F822890A602408A310D1AF5AA070F306F4BE</t>
  </si>
  <si>
    <t>C_0DB567885DD300C3D43907053BBC335F289C88C8</t>
  </si>
  <si>
    <t>C_D3342F1CCC1F59A9DA5DF1EC2ADCBB5D8D22482A</t>
  </si>
  <si>
    <t>C_23C9F57270A2F362FFC16860B018F3AB87196889</t>
  </si>
  <si>
    <t>C_D07D4F1587DB549645BF632C9EACF872B41A8E0A</t>
  </si>
  <si>
    <t>C_6A6B5F2BB4BDF2771F1CE26E58033A32C16B3C5F</t>
  </si>
  <si>
    <t>C_317ED7E4300976ABF9562C9232023A8FFF8B7D34</t>
  </si>
  <si>
    <t>C_780D61D587ABF1588873865410FF9E615AC8704E</t>
  </si>
  <si>
    <t>3. Substructure Search, Pharmacophore Highlighting &amp; Similarity</t>
  </si>
  <si>
    <t>💡 Change Cell B3 or F3 to immediately recalculate matches, highlight rings, and recompute Tanimoto similarity across the whole table!</t>
  </si>
  <si>
    <t>Compound Name</t>
  </si>
  <si>
    <t>Target SMILES</t>
  </si>
  <si>
    <t>Substructure Match? (=SMILES.MATCH)</t>
  </si>
  <si>
    <t>Highlighted Structure (=SMILES2IMG with hl:)</t>
  </si>
  <si>
    <t>Tanimoto Similarity to Lead</t>
  </si>
  <si>
    <t>SAR Pharmacophore Analysis</t>
  </si>
  <si>
    <t>=SMILES.MATCH(C5, $B$3)</t>
  </si>
  <si>
    <t>Contains benzene core; perfect 1.0 similarity to itself</t>
  </si>
  <si>
    <t>=SMILES.MATCH(C6, $B$3)</t>
  </si>
  <si>
    <t>Contains benzene core; highlighted in red ring</t>
  </si>
  <si>
    <t>Benzene</t>
  </si>
  <si>
    <t>=SMILES.MATCH(C7, $B$3)</t>
  </si>
  <si>
    <t>Exact match to query substructure</t>
  </si>
  <si>
    <t>Pyridine</t>
  </si>
  <si>
    <t>c1ccncc1</t>
  </si>
  <si>
    <t>=SMILES.MATCH(C8, $B$3)</t>
  </si>
  <si>
    <t>Nitrogen heterocycle: FALSE (not all-carbon benzene)</t>
  </si>
  <si>
    <t>Ethanol</t>
  </si>
  <si>
    <t>=SMILES.MATCH(C9, $B$3)</t>
  </si>
  <si>
    <t>Aliphatic alcohol: FALSE (no aromatic ring)</t>
  </si>
  <si>
    <t>=SMILES.MATCH(C10, $B$3)</t>
  </si>
  <si>
    <t>Fused purine heterocycle: FALSE</t>
  </si>
  <si>
    <t>=SMILES.MATCH(C11, $B$3)</t>
  </si>
  <si>
    <t>Contains para-substituted benzene ring: TRUE</t>
  </si>
  <si>
    <t>=SMILES.MATCH(C12, $B$3)</t>
  </si>
  <si>
    <t>Contains pyridine, not benzene: FALSE</t>
  </si>
  <si>
    <t>Vanillin</t>
  </si>
  <si>
    <t>O=Cc1ccc(O)c(OC)c1</t>
  </si>
  <si>
    <t>=SMILES.MATCH(C13, $B$3)</t>
  </si>
  <si>
    <t>Phenolic aldehyde with benzene ring: TRUE</t>
  </si>
  <si>
    <t>=SMILES.MATCH(C14, $B$3)</t>
  </si>
  <si>
    <t>Sesquiterpene lactone without aromaticity: FALSE</t>
  </si>
  <si>
    <t>C_6E858B26E563E49B4CEB7DB77AEBAED8958FF02E</t>
  </si>
  <si>
    <t>C_915765D1B47430214999A8C9D9E5391CEFF200C0</t>
  </si>
  <si>
    <t>Query Substructure ():</t>
  </si>
  <si>
    <t>C_HL-c1ccccc1_915765D1B47430214999A8C9D9E5391CEFF200C0</t>
  </si>
  <si>
    <t>C_HL-c1ccccc1_6E858B26E563E49B4CEB7DB77AEBAED8958FF02E</t>
  </si>
  <si>
    <t>C_HL-c1ccccc1_06563901B12EB9F5F3C51D42BF5ED16A7C9B3E08</t>
  </si>
  <si>
    <t>C_HL-c1ccccc1_5B02A5748FAEE5D648FCDAF68D9AC6490DA9E60A</t>
  </si>
  <si>
    <t>C_HL-c1ccccc1_8448043181B9A6B0A233076FE50A805A66AA244A</t>
  </si>
  <si>
    <t>(Benzene Ring Core)</t>
  </si>
  <si>
    <t>Lead Reference ():</t>
  </si>
  <si>
    <t>C_HL-c1ccccc1_89B394FD02E5E5E60AE1E167780EA7AB3276288E</t>
  </si>
  <si>
    <t>C_HL-c1ccccc1_6D3D2F1CDA2897FDB220F4E1E87B3BFEB363DF07</t>
  </si>
  <si>
    <t>C_HL-c1ccccc1_5B63F822890A602408A310D1AF5AA070F306F4BE</t>
  </si>
  <si>
    <t>C_HL-c1ccccc1_92E6F1DD547521139488FE5C23520B922D08B4DD</t>
  </si>
  <si>
    <t>C_HL-c1ccccc1_6A6B5F2BB4BDF2771F1CE26E58033A32C16B3C5F</t>
  </si>
  <si>
    <t>(Aspirin Lead Molecule)</t>
  </si>
  <si>
    <t>4. Visual Styling, Publication ACS B&amp;W, Dark Mode &amp; Transforms Matrix</t>
  </si>
  <si>
    <t>💡 Easily mix and match styling parameters using spaces or pipes (|). Unify an entire sheet in one click via Ribbon -&gt; [Batch Style].</t>
  </si>
  <si>
    <t>Rendering Style Preset</t>
  </si>
  <si>
    <t>Delimiter</t>
  </si>
  <si>
    <t>Option Code</t>
  </si>
  <si>
    <t>Formula Text</t>
  </si>
  <si>
    <t>Rendered Structure (In-Cell)</t>
  </si>
  <si>
    <t>Visual Style &amp; Publication Standards</t>
  </si>
  <si>
    <t>Standard CPK Color</t>
  </si>
  <si>
    <t>-</t>
  </si>
  <si>
    <t>(default)</t>
  </si>
  <si>
    <t>=SMILES2IMG($B$3)</t>
  </si>
  <si>
    <t>Default transparent background + elemental CPK colors (C: black, O: red, N: blue)</t>
  </si>
  <si>
    <t>White Canvas Background</t>
  </si>
  <si>
    <t>bg="white"</t>
  </si>
  <si>
    <t>=SMILES2IMG($B$3, "white")</t>
  </si>
  <si>
    <t>Opaque pure-white cell canvas suitable for printing and PDFs</t>
  </si>
  <si>
    <t>Publication Black &amp; White</t>
  </si>
  <si>
    <t>style="bw"</t>
  </si>
  <si>
    <t>=SMILES2IMG($B$3, , "bw")</t>
  </si>
  <si>
    <t>100% monochrome line art for ACS journals, Nature, and patent filings (USPTO/KIPO)</t>
  </si>
  <si>
    <t>Sequential Atom Numbers</t>
  </si>
  <si>
    <t>style="num"</t>
  </si>
  <si>
    <t>=SMILES2IMG($B$3, , "num")</t>
  </si>
  <si>
    <t>Numbered atom indices (1, 2, 3...) for NMR and crystal structure assignment</t>
  </si>
  <si>
    <t>Chiral Stereolabels</t>
  </si>
  <si>
    <t>style="stereo"</t>
  </si>
  <si>
    <t>=SMILES2IMG($B$3, , "stereo")</t>
  </si>
  <si>
    <t>Explicit R/S chiral centers and E/Z double bond labels</t>
  </si>
  <si>
    <t>Unfolded Hydrogens</t>
  </si>
  <si>
    <t>style="h"</t>
  </si>
  <si>
    <t>=SMILES2IMG($B$3, , "h")</t>
  </si>
  <si>
    <t>Explicit C-H bond lines and hydrogens to evaluate steric hindrance</t>
  </si>
  <si>
    <t>Skeletal Carbon Labels</t>
  </si>
  <si>
    <t>style="all-c"</t>
  </si>
  <si>
    <t>=SMILES2IMG($B$3, , "all-c")</t>
  </si>
  <si>
    <t>Explicit 'C' letter at all vertex carbons for educational diagrams</t>
  </si>
  <si>
    <t>Dark Mode (White Ink)</t>
  </si>
  <si>
    <t>style="white" (Dark)</t>
  </si>
  <si>
    <t>=SMILES2IMG($B$3, "#1e1e1e", "white")</t>
  </si>
  <si>
    <t>Crisp pure-white bond lines on dark canvas for PowerPoint dark slides</t>
  </si>
  <si>
    <t>Corporate CI Navy Ink</t>
  </si>
  <si>
    <t>style="ink=#003366"</t>
  </si>
  <si>
    <t>=SMILES2IMG($B$3, "aliceblue", "ink=#003366")</t>
  </si>
  <si>
    <t>Custom Hex bond color on aliceblue canvas for branded company reports</t>
  </si>
  <si>
    <t>B/W + Atom Numbers</t>
  </si>
  <si>
    <t>Space</t>
  </si>
  <si>
    <t>style="bw num"</t>
  </si>
  <si>
    <t>=SMILES2IMG($B$3, , "bw num")</t>
  </si>
  <si>
    <t>Combined monochrome patent line art and atom numbering</t>
  </si>
  <si>
    <t>B/W + Chiral Stereolabels</t>
  </si>
  <si>
    <t>Pipe (|)</t>
  </si>
  <si>
    <t>style="bw|stereo"</t>
  </si>
  <si>
    <t>=SMILES2IMG($B$3, , "bw|stereo")</t>
  </si>
  <si>
    <t>Pipe-delimited monochrome line art with chiral stereocenters</t>
  </si>
  <si>
    <t>Transform: 90-deg CW</t>
  </si>
  <si>
    <t>transform="rot90"</t>
  </si>
  <si>
    <t>=SMILES2IMG($B$3, , , "rot90")</t>
  </si>
  <si>
    <t>90-degree clockwise rotation for compact vertical table columns</t>
  </si>
  <si>
    <t>Transform: 180-deg Rotate</t>
  </si>
  <si>
    <t>transform="rot180"</t>
  </si>
  <si>
    <t>=SMILES2IMG($B$3, , , "rot180")</t>
  </si>
  <si>
    <t>180-degree upside down rotation</t>
  </si>
  <si>
    <t>Transform: Horizontal Flip</t>
  </si>
  <si>
    <t>transform="flip"</t>
  </si>
  <si>
    <t>=SMILES2IMG($B$3, , , "flip")</t>
  </si>
  <si>
    <t>Horizontal planar reflection matching textbook coordinate standards</t>
  </si>
  <si>
    <t>Transform: Chained Flip+Rot</t>
  </si>
  <si>
    <t>transform="flip rot90"</t>
  </si>
  <si>
    <t>=SMILES2IMG($B$3, , , "flip rot90")</t>
  </si>
  <si>
    <t>Chained transformation: horizontal flip followed by 90-degree rotation</t>
  </si>
  <si>
    <t>Ultimate All-in-One</t>
  </si>
  <si>
    <t>All Options Enabled</t>
  </si>
  <si>
    <t>=SMILES2IMG($B$3, "white", "bw num stereo h all-c", "flip rot90")</t>
  </si>
  <si>
    <t>All capabilities active: White canvas + B/W + Numbers + Chiral + H + Carbons + Flip + Rot</t>
  </si>
  <si>
    <t>Reference Molecule ():</t>
  </si>
  <si>
    <t>C_BG-white_06563901B12EB9F5F3C51D42BF5ED16A7C9B3E08</t>
  </si>
  <si>
    <t>C_NUM_06563901B12EB9F5F3C51D42BF5ED16A7C9B3E08</t>
  </si>
  <si>
    <t>(Aspirin Benchmark Molecule)</t>
  </si>
  <si>
    <t>5. Multi-Molecule Chemical Reactions &amp; EPAM Ketcher KET Canvas</t>
  </si>
  <si>
    <t>C_H_06563901B12EB9F5F3C51D42BF5ED16A7C9B3E08</t>
  </si>
  <si>
    <t>C_CARB_06563901B12EB9F5F3C51D42BF5ED16A7C9B3E08</t>
  </si>
  <si>
    <t>C_INK-white_BG-#1e1e1e_06563901B12EB9F5F3C51D42BF5ED16A7C9B3E08</t>
  </si>
  <si>
    <t>C_INK-#003366_BG-aliceblue_06563901B12EB9F5F3C51D42BF5ED16A7C9B3E08</t>
  </si>
  <si>
    <t>BW_NUM_06563901B12EB9F5F3C51D42BF5ED16A7C9B3E08</t>
  </si>
  <si>
    <t>BW_STR_06563901B12EB9F5F3C51D42BF5ED16A7C9B3E08</t>
  </si>
  <si>
    <t>C_TR-rot90_06563901B12EB9F5F3C51D42BF5ED16A7C9B3E08</t>
  </si>
  <si>
    <t>C_TR-rot180_06563901B12EB9F5F3C51D42BF5ED16A7C9B3E08</t>
  </si>
  <si>
    <t>💡 Double-click any structure cell to open the Ketcher 2D Editor, draw multi-step reaction schemes with arrows, and click Apply!</t>
  </si>
  <si>
    <t>C_TR-flip_06563901B12EB9F5F3C51D42BF5ED16A7C9B3E08</t>
  </si>
  <si>
    <t>C_TR-flip,rot90_06563901B12EB9F5F3C51D42BF5ED16A7C9B3E08</t>
  </si>
  <si>
    <t>BW_NUM_STR_H_CARB_BG-white_TR-flip,rot90_06563901B12EB9F5F3C51D42BF5ED16A7C9B3E08</t>
  </si>
  <si>
    <t>Reaction / Scheme Title</t>
  </si>
  <si>
    <t>Structure / KET Data</t>
  </si>
  <si>
    <t>Rendered Diagram (In-Cell)</t>
  </si>
  <si>
    <t>Chemical Description &amp; Ketcher Workflow</t>
  </si>
  <si>
    <t>Methanol KET Vector Canvas</t>
  </si>
  <si>
    <t>{"root":{"nodes":[{"$ref":"mol0"}]},"mol0":{"type":"molecule","atoms":[{"label":"C","location":[0,0,0]},{"label":"O","location":[1,0,0]}],"bonds":[{"type":1,"atoms":[0,1]}]}}</t>
  </si>
  <si>
    <t>=KET2IMG(C4)</t>
  </si>
  <si>
    <t>Native EPAM Ketcher vector diagram with precise atomic coordinates</t>
  </si>
  <si>
    <t>Ethanol KET Vector Canvas</t>
  </si>
  <si>
    <t>{"root":{"nodes":[{"$ref":"mol0"}]},"mol0":{"type":"molecule","atoms":[{"label":"C","location":[0,0,0]},{"label":"C","location":[1,0,0]},{"label":"O","location":[1.5,0.86,0]}],"bonds":[{"type":1,"atoms":[0,1]},{"type":1,"atoms":[1,2]}]}}</t>
  </si>
  <si>
    <t>=KET2IMG(C5)</t>
  </si>
  <si>
    <t>Lossless 2D canvas persisted in workbook without raster artifacts</t>
  </si>
  <si>
    <t>Aspirin Structure &amp; Synthesis</t>
  </si>
  <si>
    <t>Salicylic acid + Acetic anhydride -&gt; Acetylsalicylic acid (Aspirin)</t>
  </si>
  <si>
    <t>Amide Coupling Product</t>
  </si>
  <si>
    <t>=SMILES2IMG(C7)</t>
  </si>
  <si>
    <t>Para-aminophenol + Acetic anhydride -&gt; Paracetamol</t>
  </si>
  <si>
    <t>Caffeine Core Xanthine Ring</t>
  </si>
  <si>
    <t>=SMILES2IMG(C8)</t>
  </si>
  <si>
    <t>Purine heterocycle synthesized via Traube purine synthesis</t>
  </si>
  <si>
    <t>C_B0D4D9F5DCA70D797BB039C3AD870F82701DB18F</t>
  </si>
  <si>
    <t>C_AA5F9A723FD097A88FCD2577143FAB1FFD56EEC0</t>
  </si>
  <si>
    <t>6. Excel 2016-2021 Compatibility (=SMILES2IMG.FLOAT &amp; =NAME2IMG.FLOAT)</t>
  </si>
  <si>
    <t>💡 Append '.FLOAT' to any function name to generate floating picture shapes anchored to cells in Excel 2016, 2019, and 2021!</t>
  </si>
  <si>
    <t>Chemical SMILES</t>
  </si>
  <si>
    <t>Applied Preset</t>
  </si>
  <si>
    <t>Floating Molecular Shape (Over Cell)</t>
  </si>
  <si>
    <t>Features &amp; Legacy Behavior</t>
  </si>
  <si>
    <t>Basic</t>
  </si>
  <si>
    <t>Default</t>
  </si>
  <si>
    <t>=SMILES2IMG.FLOAT(D4)</t>
  </si>
  <si>
    <t>Automatic cell-anchored floating shape on Excel 2016/2019/2021</t>
  </si>
  <si>
    <t>=SMILES2IMG.FLOAT(D5)</t>
  </si>
  <si>
    <t>Locked to cell movement and resizing (xlMoveAndSize)</t>
  </si>
  <si>
    <t>Background</t>
  </si>
  <si>
    <t>=SMILES2IMG.FLOAT(D6, "white")</t>
  </si>
  <si>
    <t>Opaque white background floating picture</t>
  </si>
  <si>
    <t>Single Style</t>
  </si>
  <si>
    <t>=SMILES2IMG.FLOAT(D7, , "bw")</t>
  </si>
  <si>
    <t>Monochrome patent line art floating shape for legacy Excel</t>
  </si>
  <si>
    <t>L-Lactic Acid</t>
  </si>
  <si>
    <t>C[C@H](O)C(=O)O</t>
  </si>
  <si>
    <t>=SMILES2IMG.FLOAT(D8, , "stereo")</t>
  </si>
  <si>
    <t>Chiral R/S stereochemical labels in floating mode</t>
  </si>
  <si>
    <t>=SMILES2IMG.FLOAT(D9, , "h")</t>
  </si>
  <si>
    <t>All C-H hydrogens unfolded in floating shape mode</t>
  </si>
  <si>
    <t>Multi-Style</t>
  </si>
  <si>
    <t>=SMILES2IMG.FLOAT(D10, , "bw num")</t>
  </si>
  <si>
    <t>Monochrome combined with atom numbers in floating mode</t>
  </si>
  <si>
    <t>Dark Mode</t>
  </si>
  <si>
    <t>style="white stereo"</t>
  </si>
  <si>
    <t>=SMILES2IMG.FLOAT(D11, "#1e1e1e", "white stereo")</t>
  </si>
  <si>
    <t>Dark canvas with pure-white bonds and chiral labels</t>
  </si>
  <si>
    <t>Transform</t>
  </si>
  <si>
    <t>=SMILES2IMG.FLOAT(D12, , , "flip")</t>
  </si>
  <si>
    <t>Textbook horizontal reflection in floating mode</t>
  </si>
  <si>
    <t>All-in-One</t>
  </si>
  <si>
    <t>White + Full + Rot</t>
  </si>
  <si>
    <t>=SMILES2IMG.FLOAT(D13, "white", "bw num stereo h all-c", "rot90")</t>
  </si>
  <si>
    <t>Ultimate all-in-one floating molecular rendering on legacy Excel</t>
  </si>
  <si>
    <t>7. 3D Macromolecules (Mol*), Ribbon Controls &amp; Power Features Guide</t>
  </si>
  <si>
    <t>💡 All functions run 100% locally and offline inside your Microsoft Office installation with zero external server dependencies.</t>
  </si>
  <si>
    <t>Feature Module</t>
  </si>
  <si>
    <t>Command / Ribbon Tool</t>
  </si>
  <si>
    <t>Keyboard Shortcut</t>
  </si>
  <si>
    <t>Office Host Apps</t>
  </si>
  <si>
    <t>Operational Workflow &amp; Functionality</t>
  </si>
  <si>
    <t>2D Molecule Editor</t>
  </si>
  <si>
    <t>Insert / Edit Structure</t>
  </si>
  <si>
    <t>Ctrl + Shift + K</t>
  </si>
  <si>
    <t>Excel · Word · PPT</t>
  </si>
  <si>
    <t>Opens embedded EPAM Ketcher in 0.05s; sketch molecules &amp; reaction schemes; click Apply</t>
  </si>
  <si>
    <t>InChI Text Input</t>
  </si>
  <si>
    <t>Insert InChI Molecule</t>
  </si>
  <si>
    <t>Ribbon -&gt; [SMILES]</t>
  </si>
  <si>
    <t>Converts official IUPAC InChI strings into rendered 2D structure images</t>
  </si>
  <si>
    <t>KET Reaction Canvas</t>
  </si>
  <si>
    <t>Insert KET Molecule</t>
  </si>
  <si>
    <t>Inserts complete reaction schemes with reaction arrows, plus signs, and text annotations</t>
  </si>
  <si>
    <t>3D Protein Viewer</t>
  </si>
  <si>
    <t>Insert 3D Mol* Model</t>
  </si>
  <si>
    <t>Fetch PDB structures by 4-letter code (e.g. 1CRN); embed rotatable 3D GLB models or 2D views</t>
  </si>
  <si>
    <t>Quick Paste</t>
  </si>
  <si>
    <t>Quick Insert Structure</t>
  </si>
  <si>
    <t>Ctrl + Shift + V</t>
  </si>
  <si>
    <t>Instantly parses clipboard SMILES/InChI/KET and renders image in under 0.1s</t>
  </si>
  <si>
    <t>Molecule Info Window</t>
  </si>
  <si>
    <t>Copy Molecule Info</t>
  </si>
  <si>
    <t>Right-Click Context</t>
  </si>
  <si>
    <t>Opens rich DataGridView showing MW, Formula, Exact Mass, InChIKey, LogP, TPSA, Lipinski</t>
  </si>
  <si>
    <t>Lossless SVG Export</t>
  </si>
  <si>
    <t>Copy SVG (Vector)</t>
  </si>
  <si>
    <t>Copies crisp vector SVG image to clipboard for Adobe Illustrator and publication layout</t>
  </si>
  <si>
    <t>1-Click Batch Style</t>
  </si>
  <si>
    <t>Batch Style Presets</t>
  </si>
  <si>
    <t>Ribbon -&gt; Batch Style</t>
  </si>
  <si>
    <t>Normalizes every structure in workbook/slide deck into Standard, ACS B&amp;W, or Dark Mode</t>
  </si>
  <si>
    <t>Chemical Database I/O</t>
  </si>
  <si>
    <t>SDF File Import / Export</t>
  </si>
  <si>
    <t>Ribbon -&gt; SDF File</t>
  </si>
  <si>
    <t>Excel (Standalone XLL)</t>
  </si>
  <si>
    <t>Imports multi-compound .sdf chemical tables into spreadsheet rows or exports sheet to .sdf</t>
  </si>
  <si>
    <t>Live Diagnostics</t>
  </si>
  <si>
    <t>Diagnostics &amp; About</t>
  </si>
  <si>
    <t>Ribbon -&gt; About</t>
  </si>
  <si>
    <t>Monitors WebView2 instance pool, cache memory, COM registration, and update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</si>
</sst>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9"/>
      <scheme val="minor"/>
    </font>
    <font>
      <b/>
      <sz val="14"/>
      <color rgb="FFFFFFFF"/>
      <name val="Aptos Narrow"/>
      <family val="2"/>
      <scheme val="minor"/>
    </font>
    <font>
      <i/>
      <sz val="9.5"/>
      <color rgb="FF33333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B445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0070D9"/>
        <bgColor indexed="64"/>
      </patternFill>
    </fill>
    <fill>
      <patternFill patternType="solid">
        <fgColor rgb="FF1185EA"/>
        <bgColor indexed="64"/>
      </patternFill>
    </fill>
    <fill>
      <patternFill patternType="solid">
        <fgColor rgb="FF1B4D1B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82004B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E0E0FF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207050"/>
        <bgColor indexed="64"/>
      </patternFill>
    </fill>
    <fill>
      <patternFill patternType="solid">
        <fgColor rgb="FF28806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2020A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1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11" borderId="0" xfId="0" applyFont="1" applyFill="1" applyAlignment="1">
      <alignment horizontal="center"/>
    </xf>
    <xf numFmtId="0" fontId="5" fillId="0" borderId="0" xfId="0" applyFont="1"/>
    <xf numFmtId="0" fontId="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42.png"/><Relationship Id="rId7" Type="http://schemas.openxmlformats.org/officeDocument/2006/relationships/image" Target="../media/image4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10" Type="http://schemas.openxmlformats.org/officeDocument/2006/relationships/image" Target="../media/image49.png"/><Relationship Id="rId4" Type="http://schemas.openxmlformats.org/officeDocument/2006/relationships/image" Target="../media/image43.png"/><Relationship Id="rId9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3</xdr:row>
      <xdr:rowOff>73985</xdr:rowOff>
    </xdr:from>
    <xdr:to>
      <xdr:col>6</xdr:col>
      <xdr:colOff>2293938</xdr:colOff>
      <xdr:row>3</xdr:row>
      <xdr:rowOff>1002340</xdr:rowOff>
    </xdr:to>
    <xdr:pic>
      <xdr:nvPicPr>
        <xdr:cNvPr id="3" name="SMILES2IMG.FLOAT_4cdabe856830" descr="CCO" title="SMILES2IMG.FLOAT|C_89B394FD02E5E5E60AE1E167780EA7AB3276288E|2.4436090225563909">
          <a:extLst>
            <a:ext uri="{FF2B5EF4-FFF2-40B4-BE49-F238E27FC236}">
              <a16:creationId xmlns:a16="http://schemas.microsoft.com/office/drawing/2014/main" id="{E3BFC5EB-1603-DBFA-3675-F7AD95D8A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8325" y="1083635"/>
          <a:ext cx="2268538" cy="928355"/>
        </a:xfrm>
        <a:prstGeom prst="rect">
          <a:avLst/>
        </a:prstGeom>
      </xdr:spPr>
    </xdr:pic>
    <xdr:clientData/>
  </xdr:twoCellAnchor>
  <xdr:twoCellAnchor>
    <xdr:from>
      <xdr:col>6</xdr:col>
      <xdr:colOff>480104</xdr:colOff>
      <xdr:row>7</xdr:row>
      <xdr:rowOff>25400</xdr:rowOff>
    </xdr:from>
    <xdr:to>
      <xdr:col>6</xdr:col>
      <xdr:colOff>1839234</xdr:colOff>
      <xdr:row>7</xdr:row>
      <xdr:rowOff>1050925</xdr:rowOff>
    </xdr:to>
    <xdr:pic>
      <xdr:nvPicPr>
        <xdr:cNvPr id="5" name="SMILES2IMG.FLOAT_ab53bb69d064" descr="C[C@H](O)C(=O)O" title="SMILES2IMG.FLOAT|C_STR_DE160C4A456EFDF0D807C8FD08A83A371830850D|1.3253012048192772">
          <a:extLst>
            <a:ext uri="{FF2B5EF4-FFF2-40B4-BE49-F238E27FC236}">
              <a16:creationId xmlns:a16="http://schemas.microsoft.com/office/drawing/2014/main" id="{0D27DFAC-B3B8-533E-F2BD-3A172F8EE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3029" y="5340350"/>
          <a:ext cx="1359130" cy="1025525"/>
        </a:xfrm>
        <a:prstGeom prst="rect">
          <a:avLst/>
        </a:prstGeom>
      </xdr:spPr>
    </xdr:pic>
    <xdr:clientData/>
  </xdr:twoCellAnchor>
  <xdr:twoCellAnchor>
    <xdr:from>
      <xdr:col>6</xdr:col>
      <xdr:colOff>403393</xdr:colOff>
      <xdr:row>8</xdr:row>
      <xdr:rowOff>25400</xdr:rowOff>
    </xdr:from>
    <xdr:to>
      <xdr:col>6</xdr:col>
      <xdr:colOff>1915943</xdr:colOff>
      <xdr:row>8</xdr:row>
      <xdr:rowOff>1050925</xdr:rowOff>
    </xdr:to>
    <xdr:pic>
      <xdr:nvPicPr>
        <xdr:cNvPr id="7" name="SMILES2IMG.FLOAT_810d1617ce2e" descr="CCO" title="SMILES2IMG.FLOAT|C_H_89B394FD02E5E5E60AE1E167780EA7AB3276288E|1.4749034749034748">
          <a:extLst>
            <a:ext uri="{FF2B5EF4-FFF2-40B4-BE49-F238E27FC236}">
              <a16:creationId xmlns:a16="http://schemas.microsoft.com/office/drawing/2014/main" id="{C4D11FA8-DB74-4C66-660E-F428E561A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6318" y="6416675"/>
          <a:ext cx="1512550" cy="1025525"/>
        </a:xfrm>
        <a:prstGeom prst="rect">
          <a:avLst/>
        </a:prstGeom>
      </xdr:spPr>
    </xdr:pic>
    <xdr:clientData/>
  </xdr:twoCellAnchor>
  <xdr:twoCellAnchor>
    <xdr:from>
      <xdr:col>6</xdr:col>
      <xdr:colOff>432261</xdr:colOff>
      <xdr:row>10</xdr:row>
      <xdr:rowOff>25400</xdr:rowOff>
    </xdr:from>
    <xdr:to>
      <xdr:col>6</xdr:col>
      <xdr:colOff>1887075</xdr:colOff>
      <xdr:row>10</xdr:row>
      <xdr:rowOff>1050925</xdr:rowOff>
    </xdr:to>
    <xdr:pic>
      <xdr:nvPicPr>
        <xdr:cNvPr id="9" name="SMILES2IMG.FLOAT_aecddf276a96" descr="CN1CCC[C@H]1c2cccnc2" title="SMILES2IMG.FLOAT|C_INK-white_STR_BG-#1e1e1e_92E6F1DD547521139488FE5C23520B922D08B4DD|1.4186046511627908">
          <a:extLst>
            <a:ext uri="{FF2B5EF4-FFF2-40B4-BE49-F238E27FC236}">
              <a16:creationId xmlns:a16="http://schemas.microsoft.com/office/drawing/2014/main" id="{5A7ED732-09B9-D44D-56F5-59DBE9841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5186" y="8569325"/>
          <a:ext cx="1454814" cy="1025525"/>
        </a:xfrm>
        <a:prstGeom prst="rect">
          <a:avLst/>
        </a:prstGeom>
      </xdr:spPr>
    </xdr:pic>
    <xdr:clientData/>
  </xdr:twoCellAnchor>
  <xdr:twoCellAnchor>
    <xdr:from>
      <xdr:col>6</xdr:col>
      <xdr:colOff>698798</xdr:colOff>
      <xdr:row>12</xdr:row>
      <xdr:rowOff>25400</xdr:rowOff>
    </xdr:from>
    <xdr:to>
      <xdr:col>6</xdr:col>
      <xdr:colOff>1620539</xdr:colOff>
      <xdr:row>12</xdr:row>
      <xdr:rowOff>1050925</xdr:rowOff>
    </xdr:to>
    <xdr:pic>
      <xdr:nvPicPr>
        <xdr:cNvPr id="11" name="SMILES2IMG.FLOAT_49f5811b5343" descr="CC(=O)Oc1ccccc1C(=O)O" title="SMILES2IMG.FLOAT|BW_NUM_STR_H_CARB_BG-white_TR-rot90_06563901B12EB9F5F3C51D42BF5ED16A7C9B3E08|0.89879931389365353">
          <a:extLst>
            <a:ext uri="{FF2B5EF4-FFF2-40B4-BE49-F238E27FC236}">
              <a16:creationId xmlns:a16="http://schemas.microsoft.com/office/drawing/2014/main" id="{E4736A6C-CB56-E70F-A1FA-77495CFA0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1723" y="10721975"/>
          <a:ext cx="921741" cy="1025525"/>
        </a:xfrm>
        <a:prstGeom prst="rect">
          <a:avLst/>
        </a:prstGeom>
      </xdr:spPr>
    </xdr:pic>
    <xdr:clientData/>
  </xdr:twoCellAnchor>
  <xdr:twoCellAnchor>
    <xdr:from>
      <xdr:col>6</xdr:col>
      <xdr:colOff>470360</xdr:colOff>
      <xdr:row>4</xdr:row>
      <xdr:rowOff>25400</xdr:rowOff>
    </xdr:from>
    <xdr:to>
      <xdr:col>6</xdr:col>
      <xdr:colOff>1848977</xdr:colOff>
      <xdr:row>4</xdr:row>
      <xdr:rowOff>1050925</xdr:rowOff>
    </xdr:to>
    <xdr:pic>
      <xdr:nvPicPr>
        <xdr:cNvPr id="13" name="SMILES2IMG.FLOAT_f4c829200f34" descr="Cn1cnc2c1c(=O)n(C)c(=O)n2C" title="SMILES2IMG.FLOAT|C_6D3D2F1CDA2897FDB220F4E1E87B3BFEB363DF07|1.3443037974683545">
          <a:extLst>
            <a:ext uri="{FF2B5EF4-FFF2-40B4-BE49-F238E27FC236}">
              <a16:creationId xmlns:a16="http://schemas.microsoft.com/office/drawing/2014/main" id="{AA5B37E7-6937-C416-0841-9C878D215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3285" y="2111375"/>
          <a:ext cx="1378617" cy="1025525"/>
        </a:xfrm>
        <a:prstGeom prst="rect">
          <a:avLst/>
        </a:prstGeom>
      </xdr:spPr>
    </xdr:pic>
    <xdr:clientData/>
  </xdr:twoCellAnchor>
  <xdr:twoCellAnchor>
    <xdr:from>
      <xdr:col>6</xdr:col>
      <xdr:colOff>462480</xdr:colOff>
      <xdr:row>6</xdr:row>
      <xdr:rowOff>25400</xdr:rowOff>
    </xdr:from>
    <xdr:to>
      <xdr:col>6</xdr:col>
      <xdr:colOff>1856859</xdr:colOff>
      <xdr:row>6</xdr:row>
      <xdr:rowOff>1050925</xdr:rowOff>
    </xdr:to>
    <xdr:pic>
      <xdr:nvPicPr>
        <xdr:cNvPr id="15" name="SMILES2IMG.FLOAT_2938d80b654a" descr="CC(=O)Oc1ccccc1C(=O)O" title="SMILES2IMG.FLOAT|BW_06563901B12EB9F5F3C51D42BF5ED16A7C9B3E08|1.3596730245231607">
          <a:extLst>
            <a:ext uri="{FF2B5EF4-FFF2-40B4-BE49-F238E27FC236}">
              <a16:creationId xmlns:a16="http://schemas.microsoft.com/office/drawing/2014/main" id="{ECA0F136-2577-0E89-5757-A9988119E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5405" y="4264025"/>
          <a:ext cx="1394379" cy="1025525"/>
        </a:xfrm>
        <a:prstGeom prst="rect">
          <a:avLst/>
        </a:prstGeom>
      </xdr:spPr>
    </xdr:pic>
    <xdr:clientData/>
  </xdr:twoCellAnchor>
  <xdr:twoCellAnchor>
    <xdr:from>
      <xdr:col>6</xdr:col>
      <xdr:colOff>443685</xdr:colOff>
      <xdr:row>9</xdr:row>
      <xdr:rowOff>25400</xdr:rowOff>
    </xdr:from>
    <xdr:to>
      <xdr:col>6</xdr:col>
      <xdr:colOff>1875652</xdr:colOff>
      <xdr:row>9</xdr:row>
      <xdr:rowOff>1050925</xdr:rowOff>
    </xdr:to>
    <xdr:pic>
      <xdr:nvPicPr>
        <xdr:cNvPr id="17" name="SMILES2IMG.FLOAT_ea80fdcd6cf3" descr="CC(=O)Oc1ccccc1C(=O)O" title="SMILES2IMG.FLOAT|BW_NUM_06563901B12EB9F5F3C51D42BF5ED16A7C9B3E08|1.3963254593175853">
          <a:extLst>
            <a:ext uri="{FF2B5EF4-FFF2-40B4-BE49-F238E27FC236}">
              <a16:creationId xmlns:a16="http://schemas.microsoft.com/office/drawing/2014/main" id="{38CC80CE-0D02-3ECD-3B74-FF5DE44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6610" y="7493000"/>
          <a:ext cx="1431967" cy="1025525"/>
        </a:xfrm>
        <a:prstGeom prst="rect">
          <a:avLst/>
        </a:prstGeom>
      </xdr:spPr>
    </xdr:pic>
    <xdr:clientData/>
  </xdr:twoCellAnchor>
  <xdr:twoCellAnchor>
    <xdr:from>
      <xdr:col>6</xdr:col>
      <xdr:colOff>432261</xdr:colOff>
      <xdr:row>11</xdr:row>
      <xdr:rowOff>25400</xdr:rowOff>
    </xdr:from>
    <xdr:to>
      <xdr:col>6</xdr:col>
      <xdr:colOff>1887075</xdr:colOff>
      <xdr:row>11</xdr:row>
      <xdr:rowOff>1050925</xdr:rowOff>
    </xdr:to>
    <xdr:pic>
      <xdr:nvPicPr>
        <xdr:cNvPr id="19" name="SMILES2IMG.FLOAT_ea999c12983f" descr="CN1CCC[C@H]1c2cccnc2" title="SMILES2IMG.FLOAT|C_TR-flip_92E6F1DD547521139488FE5C23520B922D08B4DD|1.4186046511627908">
          <a:extLst>
            <a:ext uri="{FF2B5EF4-FFF2-40B4-BE49-F238E27FC236}">
              <a16:creationId xmlns:a16="http://schemas.microsoft.com/office/drawing/2014/main" id="{21981277-1567-0581-A218-6EF8991AF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5186" y="9645650"/>
          <a:ext cx="1454814" cy="1025525"/>
        </a:xfrm>
        <a:prstGeom prst="rect">
          <a:avLst/>
        </a:prstGeom>
      </xdr:spPr>
    </xdr:pic>
    <xdr:clientData/>
  </xdr:twoCellAnchor>
  <xdr:twoCellAnchor>
    <xdr:from>
      <xdr:col>6</xdr:col>
      <xdr:colOff>25400</xdr:colOff>
      <xdr:row>5</xdr:row>
      <xdr:rowOff>29019</xdr:rowOff>
    </xdr:from>
    <xdr:to>
      <xdr:col>6</xdr:col>
      <xdr:colOff>2293938</xdr:colOff>
      <xdr:row>5</xdr:row>
      <xdr:rowOff>1047305</xdr:rowOff>
    </xdr:to>
    <xdr:pic>
      <xdr:nvPicPr>
        <xdr:cNvPr id="21" name="SMILES2IMG.FLOAT_bcadc6aedb7a" descr="CC(=O)Nc1ccc(O)cc1" title="SMILES2IMG.FLOAT|C_BG-white_5B63F822890A602408A310D1AF5AA070F306F4BE|2.227799227799228">
          <a:extLst>
            <a:ext uri="{FF2B5EF4-FFF2-40B4-BE49-F238E27FC236}">
              <a16:creationId xmlns:a16="http://schemas.microsoft.com/office/drawing/2014/main" id="{9A7D4E04-EA4E-BD7E-4BD9-F33898570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8325" y="3191319"/>
          <a:ext cx="2268538" cy="101828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7"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4</v>
  </rv>
  <rv s="0">
    <v>16</v>
    <v>4</v>
  </rv>
  <rv s="0">
    <v>17</v>
    <v>4</v>
  </rv>
  <rv s="0">
    <v>18</v>
    <v>4</v>
  </rv>
  <rv s="0">
    <v>19</v>
    <v>4</v>
  </rv>
  <rv s="0">
    <v>20</v>
    <v>4</v>
  </rv>
  <rv s="0">
    <v>21</v>
    <v>4</v>
  </rv>
  <rv s="0">
    <v>22</v>
    <v>4</v>
  </rv>
  <rv s="0">
    <v>23</v>
    <v>4</v>
  </rv>
  <rv s="0">
    <v>24</v>
    <v>4</v>
  </rv>
  <rv s="0">
    <v>25</v>
    <v>4</v>
  </rv>
  <rv s="0">
    <v>26</v>
    <v>4</v>
  </rv>
  <rv s="0">
    <v>27</v>
    <v>4</v>
  </rv>
  <rv s="0">
    <v>28</v>
    <v>4</v>
  </rv>
  <rv s="0">
    <v>29</v>
    <v>4</v>
  </rv>
  <rv s="0">
    <v>30</v>
    <v>4</v>
  </rv>
  <rv s="0">
    <v>31</v>
    <v>4</v>
  </rv>
  <rv s="0">
    <v>32</v>
    <v>4</v>
  </rv>
  <rv s="0">
    <v>33</v>
    <v>4</v>
  </rv>
  <rv s="0">
    <v>34</v>
    <v>4</v>
  </rv>
  <rv s="0">
    <v>35</v>
    <v>4</v>
  </rv>
  <rv s="0">
    <v>36</v>
    <v>4</v>
  </rv>
  <rv s="0">
    <v>37</v>
    <v>4</v>
  </rv>
  <rv s="0">
    <v>0</v>
    <v>5</v>
  </rv>
  <rv s="0">
    <v>1</v>
    <v>5</v>
  </rv>
  <rv s="0">
    <v>2</v>
    <v>5</v>
  </rv>
  <rv s="0">
    <v>4</v>
    <v>5</v>
  </rv>
  <rv s="0">
    <v>5</v>
    <v>5</v>
  </rv>
  <rv s="0">
    <v>7</v>
    <v>5</v>
  </rv>
  <rv s="0">
    <v>6</v>
    <v>5</v>
  </rv>
  <rv s="0">
    <v>3</v>
    <v>5</v>
  </rv>
  <rv s="0">
    <v>8</v>
    <v>5</v>
  </rv>
  <rv s="0">
    <v>9</v>
    <v>5</v>
  </rv>
  <rv s="0">
    <v>10</v>
    <v>5</v>
  </rv>
  <rv s="0">
    <v>17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21</v>
    <v>5</v>
  </rv>
  <rv s="0">
    <v>38</v>
    <v>5</v>
  </rv>
  <rv s="0">
    <v>23</v>
    <v>5</v>
  </rv>
  <rv s="0">
    <v>18</v>
    <v>5</v>
  </rv>
  <rv s="0">
    <v>19</v>
    <v>5</v>
  </rv>
  <rv s="0">
    <v>20</v>
    <v>5</v>
  </rv>
  <rv s="0">
    <v>22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1765-7C56-4D21-9BF2-3D3283E63CF3}">
  <sheetPr>
    <tabColor rgb="FFFFA500"/>
  </sheetPr>
  <dimension ref="A1:G13"/>
  <sheetViews>
    <sheetView tabSelected="1" workbookViewId="0">
      <selection sqref="A1:G1"/>
    </sheetView>
  </sheetViews>
  <sheetFormatPr defaultRowHeight="13.5" x14ac:dyDescent="0.3"/>
  <cols>
    <col min="1" max="1" width="6.64453125" customWidth="1"/>
    <col min="2" max="2" width="22.64453125" customWidth="1"/>
    <col min="3" max="3" width="24.64453125" customWidth="1"/>
    <col min="4" max="4" width="38.64453125" customWidth="1"/>
    <col min="5" max="6" width="28.64453125" customWidth="1"/>
    <col min="7" max="7" width="52.64453125" customWidth="1"/>
  </cols>
  <sheetData>
    <row r="1" spans="1:7" ht="32" customHeight="1" x14ac:dyDescent="0.3">
      <c r="A1" s="1" t="s">
        <v>0</v>
      </c>
      <c r="B1" s="1"/>
      <c r="C1" s="1"/>
      <c r="D1" s="1"/>
      <c r="E1" s="1"/>
      <c r="F1" s="1"/>
      <c r="G1" s="1"/>
    </row>
    <row r="2" spans="1:7" ht="22.05" customHeight="1" x14ac:dyDescent="0.3">
      <c r="A2" s="2" t="s">
        <v>1</v>
      </c>
      <c r="B2" s="2"/>
      <c r="C2" s="2"/>
      <c r="D2" s="2"/>
      <c r="E2" s="2"/>
      <c r="F2" s="2"/>
      <c r="G2" s="2"/>
    </row>
    <row r="3" spans="1:7" ht="26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ht="85.05" customHeight="1" x14ac:dyDescent="0.3">
      <c r="A4" s="4">
        <v>1</v>
      </c>
      <c r="B4" s="4" t="s">
        <v>9</v>
      </c>
      <c r="C4" s="4" t="s">
        <v>10</v>
      </c>
      <c r="D4" s="5" t="s">
        <v>11</v>
      </c>
      <c r="E4" s="4" t="str" cm="1">
        <f t="array" ref="E4">_xll.NAME2IMG("Aspirin")</f>
        <v/>
      </c>
      <c r="F4" s="4" t="s">
        <v>12</v>
      </c>
      <c r="G4" s="4" t="s">
        <v>13</v>
      </c>
    </row>
    <row r="5" spans="1:7" ht="85.05" customHeight="1" x14ac:dyDescent="0.3">
      <c r="A5" s="4">
        <v>2</v>
      </c>
      <c r="B5" s="4" t="s">
        <v>14</v>
      </c>
      <c r="C5" s="4" t="s">
        <v>15</v>
      </c>
      <c r="D5" s="5" t="s">
        <v>16</v>
      </c>
      <c r="E5" s="4" t="str" cm="1">
        <f t="array" ref="E5">_xll.NAME2IMG("58-08-2")</f>
        <v/>
      </c>
      <c r="F5" s="4" t="s">
        <v>12</v>
      </c>
      <c r="G5" s="4" t="s">
        <v>17</v>
      </c>
    </row>
    <row r="6" spans="1:7" ht="85.05" customHeight="1" x14ac:dyDescent="0.3">
      <c r="A6" s="4">
        <v>3</v>
      </c>
      <c r="B6" s="4" t="s">
        <v>18</v>
      </c>
      <c r="C6" s="4" t="s">
        <v>19</v>
      </c>
      <c r="D6" s="5" t="s">
        <v>20</v>
      </c>
      <c r="E6" s="4" t="e" cm="1" vm="1">
        <f t="array" ref="E6">_xll.SMILES2IMG(C6)</f>
        <v>#VALUE!</v>
      </c>
      <c r="F6" s="4" t="s">
        <v>12</v>
      </c>
      <c r="G6" s="4" t="s">
        <v>21</v>
      </c>
    </row>
    <row r="7" spans="1:7" ht="85.05" customHeight="1" x14ac:dyDescent="0.3">
      <c r="A7" s="4">
        <v>4</v>
      </c>
      <c r="B7" s="4" t="s">
        <v>22</v>
      </c>
      <c r="C7" s="4" t="s">
        <v>19</v>
      </c>
      <c r="D7" s="5" t="s">
        <v>23</v>
      </c>
      <c r="E7" s="4" cm="1">
        <f t="array" ref="E7">_xll.SMILES2MW(C7)</f>
        <v>180.16</v>
      </c>
      <c r="F7" s="4" t="s">
        <v>24</v>
      </c>
      <c r="G7" s="4" t="s">
        <v>25</v>
      </c>
    </row>
    <row r="8" spans="1:7" ht="85.05" customHeight="1" x14ac:dyDescent="0.3">
      <c r="A8" s="4">
        <v>5</v>
      </c>
      <c r="B8" s="4" t="s">
        <v>26</v>
      </c>
      <c r="C8" s="4" t="s">
        <v>19</v>
      </c>
      <c r="D8" s="5" t="s">
        <v>27</v>
      </c>
      <c r="E8" s="4" t="str" cm="1">
        <f t="array" ref="E8">_xll.SMILES2FORMULA(C8)</f>
        <v>C9H8O4</v>
      </c>
      <c r="F8" s="4" t="s">
        <v>24</v>
      </c>
      <c r="G8" s="4" t="s">
        <v>28</v>
      </c>
    </row>
    <row r="9" spans="1:7" ht="85.05" customHeight="1" x14ac:dyDescent="0.3">
      <c r="A9" s="4">
        <v>6</v>
      </c>
      <c r="B9" s="4" t="s">
        <v>29</v>
      </c>
      <c r="C9" s="4" t="s">
        <v>19</v>
      </c>
      <c r="D9" s="5" t="s">
        <v>30</v>
      </c>
      <c r="E9" s="4" t="str" cm="1">
        <f t="array" ref="E9">_xll.SMILES2LIPINSKI(C9)</f>
        <v>PASS</v>
      </c>
      <c r="F9" s="4" t="s">
        <v>24</v>
      </c>
      <c r="G9" s="4" t="s">
        <v>31</v>
      </c>
    </row>
    <row r="10" spans="1:7" ht="85.05" customHeight="1" x14ac:dyDescent="0.3">
      <c r="A10" s="4">
        <v>7</v>
      </c>
      <c r="B10" s="4" t="s">
        <v>32</v>
      </c>
      <c r="C10" s="4" t="s">
        <v>19</v>
      </c>
      <c r="D10" s="5" t="s">
        <v>33</v>
      </c>
      <c r="E10" s="4" t="b" cm="1">
        <f t="array" ref="E10">_xll.SMILES.MATCH(C10, "c1ccccc1")</f>
        <v>1</v>
      </c>
      <c r="F10" s="4" t="s">
        <v>24</v>
      </c>
      <c r="G10" s="4" t="s">
        <v>34</v>
      </c>
    </row>
    <row r="11" spans="1:7" ht="85.05" customHeight="1" x14ac:dyDescent="0.3">
      <c r="A11" s="4">
        <v>8</v>
      </c>
      <c r="B11" s="4" t="s">
        <v>35</v>
      </c>
      <c r="C11" s="4" t="s">
        <v>36</v>
      </c>
      <c r="D11" s="4" t="s">
        <v>37</v>
      </c>
      <c r="E11" s="4" t="e" cm="1" vm="1">
        <f t="array" ref="E11">_xll.SMILES2IMG("CC(=O)Oc1ccccc1C(=O)O", , "stereo")</f>
        <v>#VALUE!</v>
      </c>
      <c r="F11" s="4" t="s">
        <v>38</v>
      </c>
      <c r="G11" s="4" t="s">
        <v>39</v>
      </c>
    </row>
    <row r="12" spans="1:7" ht="85.05" customHeight="1" x14ac:dyDescent="0.3">
      <c r="A12" s="4">
        <v>9</v>
      </c>
      <c r="B12" s="4" t="s">
        <v>40</v>
      </c>
      <c r="C12" s="4" t="s">
        <v>41</v>
      </c>
      <c r="D12" s="4" t="s">
        <v>42</v>
      </c>
      <c r="E12" s="4" t="e" cm="1" vm="2">
        <f t="array" ref="E12">_xll.SMILES2IMG("CC(=O)Nc1ccc(O)cc1", "white")</f>
        <v>#VALUE!</v>
      </c>
      <c r="F12" s="4" t="s">
        <v>43</v>
      </c>
      <c r="G12" s="4" t="s">
        <v>44</v>
      </c>
    </row>
    <row r="13" spans="1:7" ht="85.05" customHeight="1" x14ac:dyDescent="0.3">
      <c r="A13" s="4">
        <v>10</v>
      </c>
      <c r="B13" s="4" t="s">
        <v>45</v>
      </c>
      <c r="C13" s="4" t="s">
        <v>46</v>
      </c>
      <c r="D13" s="4" t="s">
        <v>47</v>
      </c>
      <c r="E13" s="4" t="e" cm="1" vm="3">
        <f t="array" ref="E13">_xll.SMILES2IMG("CC(=O)Oc1ccccc1C(=O)O", , "bw")</f>
        <v>#VALUE!</v>
      </c>
      <c r="F13" s="4" t="s">
        <v>48</v>
      </c>
      <c r="G13" s="4" t="s">
        <v>49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7CFE-26CB-403E-8E82-8FE2D60D8F35}">
  <sheetPr>
    <tabColor rgb="FF0070D9"/>
  </sheetPr>
  <dimension ref="A1:H15"/>
  <sheetViews>
    <sheetView workbookViewId="0"/>
  </sheetViews>
  <sheetFormatPr defaultRowHeight="13.5" x14ac:dyDescent="0.3"/>
  <cols>
    <col min="1" max="1" width="6.64453125" customWidth="1"/>
    <col min="2" max="2" width="18.64453125" customWidth="1"/>
    <col min="3" max="3" width="32.64453125" customWidth="1"/>
    <col min="4" max="4" width="42.64453125" customWidth="1"/>
    <col min="5" max="5" width="28.64453125" customWidth="1"/>
    <col min="6" max="6" width="38.64453125" customWidth="1"/>
    <col min="7" max="7" width="22.64453125" customWidth="1"/>
    <col min="8" max="8" width="48.64453125" customWidth="1"/>
  </cols>
  <sheetData>
    <row r="1" spans="1:8" ht="32" customHeight="1" x14ac:dyDescent="0.3">
      <c r="A1" s="8" t="s">
        <v>58</v>
      </c>
      <c r="B1" s="8"/>
      <c r="C1" s="8"/>
      <c r="D1" s="8"/>
      <c r="E1" s="8"/>
      <c r="F1" s="8"/>
      <c r="G1" s="8"/>
      <c r="H1" s="8"/>
    </row>
    <row r="2" spans="1:8" ht="22.05" customHeight="1" x14ac:dyDescent="0.3">
      <c r="A2" s="2" t="s">
        <v>59</v>
      </c>
      <c r="B2" s="2"/>
      <c r="C2" s="2"/>
      <c r="D2" s="2"/>
      <c r="E2" s="2"/>
      <c r="F2" s="2"/>
      <c r="G2" s="2"/>
      <c r="H2" s="2"/>
    </row>
    <row r="3" spans="1:8" ht="26" customHeight="1" x14ac:dyDescent="0.3">
      <c r="A3" s="9" t="s">
        <v>2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</row>
    <row r="4" spans="1:8" ht="85.05" customHeight="1" x14ac:dyDescent="0.3">
      <c r="A4" s="4">
        <v>1</v>
      </c>
      <c r="B4" s="4" t="s">
        <v>67</v>
      </c>
      <c r="C4" s="4" t="s">
        <v>10</v>
      </c>
      <c r="D4" s="5" t="s">
        <v>68</v>
      </c>
      <c r="E4" s="4" t="e" cm="1" vm="1">
        <f t="array" ref="E4">_xll.NAME2IMG(C4)</f>
        <v>#VALUE!</v>
      </c>
      <c r="F4" s="5" t="str" cm="1">
        <f t="array" ref="F4">_xll.NAME2SMILES(C4)</f>
        <v>CC(=O)Oc1ccccc1C(=O)O</v>
      </c>
      <c r="G4" s="5" t="str" cm="1">
        <f t="array" ref="G4">_xll.SMILES2NAME(F4)</f>
        <v>Aspirin</v>
      </c>
      <c r="H4" s="4" t="s">
        <v>69</v>
      </c>
    </row>
    <row r="5" spans="1:8" ht="85.05" customHeight="1" x14ac:dyDescent="0.3">
      <c r="A5" s="4">
        <v>2</v>
      </c>
      <c r="B5" s="4" t="s">
        <v>67</v>
      </c>
      <c r="C5" s="4" t="s">
        <v>70</v>
      </c>
      <c r="D5" s="5" t="s">
        <v>71</v>
      </c>
      <c r="E5" s="4" t="str" cm="1">
        <f t="array" ref="E5">_xll.NAME2IMG(C5)</f>
        <v/>
      </c>
      <c r="F5" s="5" t="str" cm="1">
        <f t="array" ref="F5">_xll.NAME2SMILES(C5)</f>
        <v>CC(C)Cc1ccc(C(C)C(=O)O)cc1</v>
      </c>
      <c r="G5" s="5" t="str" cm="1">
        <f t="array" ref="G5">_xll.SMILES2NAME(F5)</f>
        <v>Ibuprofen, (+-)-</v>
      </c>
      <c r="H5" s="4" t="s">
        <v>72</v>
      </c>
    </row>
    <row r="6" spans="1:8" ht="85.05" customHeight="1" x14ac:dyDescent="0.3">
      <c r="A6" s="4">
        <v>3</v>
      </c>
      <c r="B6" s="4" t="s">
        <v>67</v>
      </c>
      <c r="C6" s="4" t="s">
        <v>73</v>
      </c>
      <c r="D6" s="5" t="s">
        <v>74</v>
      </c>
      <c r="E6" s="4" t="str" cm="1">
        <f t="array" ref="E6">_xll.NAME2IMG(C6)</f>
        <v/>
      </c>
      <c r="F6" s="5" t="str" cm="1">
        <f t="array" ref="F6">_xll.NAME2SMILES(C6)</f>
        <v>Cn1cnc2c1c(=O)n(C)c(=O)n2C</v>
      </c>
      <c r="G6" s="5" t="str" cm="1">
        <f t="array" ref="G6">_xll.SMILES2NAME(F6)</f>
        <v>Caffeine</v>
      </c>
      <c r="H6" s="4" t="s">
        <v>75</v>
      </c>
    </row>
    <row r="7" spans="1:8" ht="85.05" customHeight="1" x14ac:dyDescent="0.3">
      <c r="A7" s="4">
        <v>4</v>
      </c>
      <c r="B7" s="4" t="s">
        <v>67</v>
      </c>
      <c r="C7" s="4" t="s">
        <v>76</v>
      </c>
      <c r="D7" s="5" t="s">
        <v>77</v>
      </c>
      <c r="E7" s="4" t="str" cm="1">
        <f t="array" ref="E7">_xll.NAME2IMG(C7)</f>
        <v/>
      </c>
      <c r="F7" s="5" t="str" cm="1">
        <f t="array" ref="F7">_xll.NAME2SMILES(C7)</f>
        <v>CC(=O)Nc1ccc(O)cc1</v>
      </c>
      <c r="G7" s="5" t="str" cm="1">
        <f t="array" ref="G7">_xll.SMILES2NAME(F7)</f>
        <v>Acetaminophen</v>
      </c>
      <c r="H7" s="4" t="s">
        <v>78</v>
      </c>
    </row>
    <row r="8" spans="1:8" ht="85.05" customHeight="1" x14ac:dyDescent="0.3">
      <c r="A8" s="4">
        <v>5</v>
      </c>
      <c r="B8" s="4" t="s">
        <v>79</v>
      </c>
      <c r="C8" s="4" t="s">
        <v>80</v>
      </c>
      <c r="D8" s="5" t="s">
        <v>81</v>
      </c>
      <c r="E8" s="4" t="e" cm="1" vm="1">
        <f t="array" ref="E8">_xll.NAME2IMG(C8)</f>
        <v>#VALUE!</v>
      </c>
      <c r="F8" s="5" t="str" cm="1">
        <f t="array" ref="F8">_xll.NAME2SMILES(C8)</f>
        <v>CC(=O)Oc1ccccc1C(=O)O</v>
      </c>
      <c r="G8" s="4" t="s">
        <v>10</v>
      </c>
      <c r="H8" s="4" t="s">
        <v>82</v>
      </c>
    </row>
    <row r="9" spans="1:8" ht="85.05" customHeight="1" x14ac:dyDescent="0.3">
      <c r="A9" s="4">
        <v>6</v>
      </c>
      <c r="B9" s="4" t="s">
        <v>79</v>
      </c>
      <c r="C9" s="4" t="s">
        <v>15</v>
      </c>
      <c r="D9" s="5" t="s">
        <v>83</v>
      </c>
      <c r="E9" s="4" t="str" cm="1">
        <f t="array" ref="E9">_xll.NAME2IMG(C9)</f>
        <v/>
      </c>
      <c r="F9" s="5" t="str" cm="1">
        <f t="array" ref="F9">_xll.NAME2SMILES(C9)</f>
        <v>Cn1cnc2c1c(=O)n(C)c(=O)n2C</v>
      </c>
      <c r="G9" s="4" t="s">
        <v>73</v>
      </c>
      <c r="H9" s="4" t="s">
        <v>84</v>
      </c>
    </row>
    <row r="10" spans="1:8" ht="85.05" customHeight="1" x14ac:dyDescent="0.3">
      <c r="A10" s="4">
        <v>7</v>
      </c>
      <c r="B10" s="4" t="s">
        <v>79</v>
      </c>
      <c r="C10" s="4" t="s">
        <v>85</v>
      </c>
      <c r="D10" s="5" t="s">
        <v>86</v>
      </c>
      <c r="E10" s="4" t="str" cm="1">
        <f t="array" ref="E10">_xll.NAME2IMG(C10)</f>
        <v/>
      </c>
      <c r="F10" s="5" t="str" cm="1">
        <f t="array" ref="F10">_xll.NAME2SMILES(C10)</f>
        <v>CC(=O)Nc1ccc(O)cc1</v>
      </c>
      <c r="G10" s="4" t="s">
        <v>87</v>
      </c>
      <c r="H10" s="4" t="s">
        <v>88</v>
      </c>
    </row>
    <row r="11" spans="1:8" ht="85.05" customHeight="1" x14ac:dyDescent="0.3">
      <c r="A11" s="4">
        <v>8</v>
      </c>
      <c r="B11" s="4" t="s">
        <v>89</v>
      </c>
      <c r="C11" s="4" t="s">
        <v>90</v>
      </c>
      <c r="D11" s="5" t="s">
        <v>91</v>
      </c>
      <c r="E11" s="4" t="e" cm="1" vm="4">
        <f t="array" ref="E11">_xll.SMILES2IMG(C11)</f>
        <v>#VALUE!</v>
      </c>
      <c r="F11" s="4" t="s">
        <v>90</v>
      </c>
      <c r="G11" s="5" t="str" cm="1">
        <f t="array" ref="G11">_xll.SMILES2NAME(C11)</f>
        <v>Cyclohexane</v>
      </c>
      <c r="H11" s="4" t="s">
        <v>92</v>
      </c>
    </row>
    <row r="12" spans="1:8" ht="85.05" customHeight="1" x14ac:dyDescent="0.3">
      <c r="A12" s="4">
        <v>9</v>
      </c>
      <c r="B12" s="4" t="s">
        <v>89</v>
      </c>
      <c r="C12" s="4" t="s">
        <v>93</v>
      </c>
      <c r="D12" s="5" t="s">
        <v>94</v>
      </c>
      <c r="E12" s="4" t="e" cm="1" vm="5">
        <f t="array" ref="E12">_xll.SMILES2IMG(C12)</f>
        <v>#VALUE!</v>
      </c>
      <c r="F12" s="4" t="s">
        <v>93</v>
      </c>
      <c r="G12" s="5" t="str" cm="1">
        <f t="array" ref="G12">_xll.SMILES2NAME(C12)</f>
        <v>Ethanol</v>
      </c>
      <c r="H12" s="4" t="s">
        <v>95</v>
      </c>
    </row>
    <row r="13" spans="1:8" ht="85.05" customHeight="1" x14ac:dyDescent="0.3">
      <c r="A13" s="4">
        <v>10</v>
      </c>
      <c r="B13" s="4" t="s">
        <v>89</v>
      </c>
      <c r="C13" s="4" t="s">
        <v>96</v>
      </c>
      <c r="D13" s="5" t="s">
        <v>97</v>
      </c>
      <c r="E13" s="4" t="e" cm="1" vm="6">
        <f t="array" ref="E13">_xll.SMILES2IMG(C13)</f>
        <v>#VALUE!</v>
      </c>
      <c r="F13" s="4" t="s">
        <v>96</v>
      </c>
      <c r="G13" s="5" t="str" cm="1">
        <f t="array" ref="G13">_xll.SMILES2NAME(C13)</f>
        <v>Nicotine</v>
      </c>
      <c r="H13" s="4" t="s">
        <v>98</v>
      </c>
    </row>
    <row r="14" spans="1:8" ht="85.05" customHeight="1" x14ac:dyDescent="0.3">
      <c r="A14" s="4">
        <v>11</v>
      </c>
      <c r="B14" s="4" t="s">
        <v>89</v>
      </c>
      <c r="C14" s="4" t="s">
        <v>99</v>
      </c>
      <c r="D14" s="5" t="s">
        <v>100</v>
      </c>
      <c r="E14" s="4" t="e" cm="1" vm="7">
        <f t="array" ref="E14">_xll.SMILES2IMG(C14)</f>
        <v>#VALUE!</v>
      </c>
      <c r="F14" s="4" t="s">
        <v>99</v>
      </c>
      <c r="G14" s="5" t="str" cm="1">
        <f t="array" ref="G14">_xll.SMILES2NAME(C14)</f>
        <v>Acetone</v>
      </c>
      <c r="H14" s="4" t="s">
        <v>101</v>
      </c>
    </row>
    <row r="15" spans="1:8" ht="85.05" customHeight="1" x14ac:dyDescent="0.3">
      <c r="A15" s="4">
        <v>12</v>
      </c>
      <c r="B15" s="4" t="s">
        <v>102</v>
      </c>
      <c r="C15" s="4" t="s">
        <v>103</v>
      </c>
      <c r="D15" s="5" t="s">
        <v>104</v>
      </c>
      <c r="E15" s="4" t="e" cm="1" vm="8">
        <f t="array" ref="E15">_xll.INCHI2IMG(C15)</f>
        <v>#VALUE!</v>
      </c>
      <c r="F15" s="4" t="s">
        <v>105</v>
      </c>
      <c r="G15" s="4" t="s">
        <v>73</v>
      </c>
      <c r="H15" s="4" t="s">
        <v>106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F4D9-06CE-4FB8-A470-3358A505A4CD}">
  <sheetPr>
    <tabColor rgb="FF228B22"/>
  </sheetPr>
  <dimension ref="A1:N15"/>
  <sheetViews>
    <sheetView workbookViewId="0"/>
  </sheetViews>
  <sheetFormatPr defaultRowHeight="13.5" x14ac:dyDescent="0.3"/>
  <cols>
    <col min="1" max="1" width="5.64453125" customWidth="1"/>
    <col min="2" max="2" width="16.64453125" customWidth="1"/>
    <col min="3" max="3" width="26.64453125" customWidth="1"/>
    <col min="4" max="4" width="24.64453125" customWidth="1"/>
    <col min="5" max="5" width="14.64453125" customWidth="1"/>
    <col min="6" max="6" width="12.64453125" customWidth="1"/>
    <col min="7" max="7" width="13.64453125" customWidth="1"/>
    <col min="8" max="8" width="9.64453125" customWidth="1"/>
    <col min="9" max="9" width="11.64453125" customWidth="1"/>
    <col min="10" max="11" width="8.64453125" customWidth="1"/>
    <col min="12" max="12" width="10.64453125" customWidth="1"/>
    <col min="13" max="13" width="24.64453125" customWidth="1"/>
    <col min="14" max="14" width="38.64453125" customWidth="1"/>
  </cols>
  <sheetData>
    <row r="1" spans="1:14" ht="32" customHeight="1" x14ac:dyDescent="0.3">
      <c r="A1" s="10" t="s">
        <v>107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2.05" customHeight="1" x14ac:dyDescent="0.3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6" customHeight="1" x14ac:dyDescent="0.3">
      <c r="A3" s="11" t="s">
        <v>2</v>
      </c>
      <c r="B3" s="11" t="s">
        <v>109</v>
      </c>
      <c r="C3" s="11" t="s">
        <v>89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</row>
    <row r="4" spans="1:14" ht="85.05" customHeight="1" x14ac:dyDescent="0.3">
      <c r="A4" s="4">
        <v>1</v>
      </c>
      <c r="B4" s="4" t="s">
        <v>10</v>
      </c>
      <c r="C4" s="4" t="s">
        <v>19</v>
      </c>
      <c r="D4" s="4" t="e" cm="1" vm="1">
        <f t="array" ref="D4">_xll.SMILES2IMG(C4)</f>
        <v>#VALUE!</v>
      </c>
      <c r="E4" s="4" t="str" cm="1">
        <f t="array" ref="E4">_xll.SMILES2FORMULA(C4)</f>
        <v>C9H8O4</v>
      </c>
      <c r="F4" s="4" cm="1">
        <f t="array" ref="F4">_xll.SMILES2MW(C4)</f>
        <v>180.16</v>
      </c>
      <c r="G4" s="4" cm="1">
        <f t="array" ref="G4">_xll.SMILES2EXACTMASS(C4)</f>
        <v>180.04230000000001</v>
      </c>
      <c r="H4" s="4" cm="1">
        <f t="array" ref="H4">_xll.SMILES2LOGP(C4)</f>
        <v>1.31</v>
      </c>
      <c r="I4" s="4" cm="1">
        <f t="array" ref="I4">_xll.SMILES2TPSA(C4)</f>
        <v>63.6</v>
      </c>
      <c r="J4" s="4" cm="1">
        <f t="array" ref="J4">_xll.SMILES2HBD(C4)</f>
        <v>1</v>
      </c>
      <c r="K4" s="4" cm="1">
        <f t="array" ref="K4">_xll.SMILES2HBA(C4)</f>
        <v>4</v>
      </c>
      <c r="L4" s="4" cm="1">
        <f t="array" ref="L4">_xll.SMILES2ROTBONDS(C4)</f>
        <v>3</v>
      </c>
      <c r="M4" s="4" t="str" cm="1">
        <f t="array" ref="M4">_xll.SMILES2LIPINSKI(C4)</f>
        <v>PASS</v>
      </c>
      <c r="N4" s="4" t="s">
        <v>121</v>
      </c>
    </row>
    <row r="5" spans="1:14" ht="85.05" customHeight="1" x14ac:dyDescent="0.3">
      <c r="A5" s="4">
        <v>2</v>
      </c>
      <c r="B5" s="4" t="s">
        <v>70</v>
      </c>
      <c r="C5" s="4" t="s">
        <v>122</v>
      </c>
      <c r="D5" s="4" t="e" cm="1" vm="9">
        <f t="array" ref="D5">_xll.SMILES2IMG(C5)</f>
        <v>#VALUE!</v>
      </c>
      <c r="E5" s="4" t="str" cm="1">
        <f t="array" ref="E5">_xll.SMILES2FORMULA(C5)</f>
        <v>C13H18O2</v>
      </c>
      <c r="F5" s="4" cm="1">
        <f t="array" ref="F5">_xll.SMILES2MW(C5)</f>
        <v>206.28</v>
      </c>
      <c r="G5" s="4" cm="1">
        <f t="array" ref="G5">_xll.SMILES2EXACTMASS(C5)</f>
        <v>206.13069999999999</v>
      </c>
      <c r="H5" s="4" cm="1">
        <f t="array" ref="H5">_xll.SMILES2LOGP(C5)</f>
        <v>3.21</v>
      </c>
      <c r="I5" s="4" cm="1">
        <f t="array" ref="I5">_xll.SMILES2TPSA(C5)</f>
        <v>37.299999999999997</v>
      </c>
      <c r="J5" s="4" cm="1">
        <f t="array" ref="J5">_xll.SMILES2HBD(C5)</f>
        <v>1</v>
      </c>
      <c r="K5" s="4" cm="1">
        <f t="array" ref="K5">_xll.SMILES2HBA(C5)</f>
        <v>2</v>
      </c>
      <c r="L5" s="4" cm="1">
        <f t="array" ref="L5">_xll.SMILES2ROTBONDS(C5)</f>
        <v>4</v>
      </c>
      <c r="M5" s="4" t="str" cm="1">
        <f t="array" ref="M5">_xll.SMILES2LIPINSKI(C5)</f>
        <v>PASS</v>
      </c>
      <c r="N5" s="4" t="s">
        <v>123</v>
      </c>
    </row>
    <row r="6" spans="1:14" ht="85.05" customHeight="1" x14ac:dyDescent="0.3">
      <c r="A6" s="4">
        <v>3</v>
      </c>
      <c r="B6" s="4" t="s">
        <v>73</v>
      </c>
      <c r="C6" s="4" t="s">
        <v>105</v>
      </c>
      <c r="D6" s="4" t="e" cm="1" vm="10">
        <f t="array" ref="D6">_xll.SMILES2IMG(C6)</f>
        <v>#VALUE!</v>
      </c>
      <c r="E6" s="4" t="str" cm="1">
        <f t="array" ref="E6">_xll.SMILES2FORMULA(C6)</f>
        <v>C8H10N4O2</v>
      </c>
      <c r="F6" s="4" cm="1">
        <f t="array" ref="F6">_xll.SMILES2MW(C6)</f>
        <v>194.19</v>
      </c>
      <c r="G6" s="4" cm="1">
        <f t="array" ref="G6">_xll.SMILES2EXACTMASS(C6)</f>
        <v>194.0804</v>
      </c>
      <c r="H6" s="4" cm="1">
        <f t="array" ref="H6">_xll.SMILES2LOGP(C6)</f>
        <v>0</v>
      </c>
      <c r="I6" s="4" cm="1">
        <f t="array" ref="I6">_xll.SMILES2TPSA(C6)</f>
        <v>61.82</v>
      </c>
      <c r="J6" s="4" cm="1">
        <f t="array" ref="J6">_xll.SMILES2HBD(C6)</f>
        <v>0</v>
      </c>
      <c r="K6" s="4" cm="1">
        <f t="array" ref="K6">_xll.SMILES2HBA(C6)</f>
        <v>6</v>
      </c>
      <c r="L6" s="4" cm="1">
        <f t="array" ref="L6">_xll.SMILES2ROTBONDS(C6)</f>
        <v>0</v>
      </c>
      <c r="M6" s="4" t="str" cm="1">
        <f t="array" ref="M6">_xll.SMILES2LIPINSKI(C6)</f>
        <v>PASS</v>
      </c>
      <c r="N6" s="4" t="s">
        <v>124</v>
      </c>
    </row>
    <row r="7" spans="1:14" ht="85.05" customHeight="1" x14ac:dyDescent="0.3">
      <c r="A7" s="4">
        <v>4</v>
      </c>
      <c r="B7" s="4" t="s">
        <v>76</v>
      </c>
      <c r="C7" s="4" t="s">
        <v>55</v>
      </c>
      <c r="D7" s="4" t="e" cm="1" vm="11">
        <f t="array" ref="D7">_xll.SMILES2IMG(C7)</f>
        <v>#VALUE!</v>
      </c>
      <c r="E7" s="4" t="str" cm="1">
        <f t="array" ref="E7">_xll.SMILES2FORMULA(C7)</f>
        <v>C8H9NO2</v>
      </c>
      <c r="F7" s="4" cm="1">
        <f t="array" ref="F7">_xll.SMILES2MW(C7)</f>
        <v>151.16</v>
      </c>
      <c r="G7" s="4" cm="1">
        <f t="array" ref="G7">_xll.SMILES2EXACTMASS(C7)</f>
        <v>151.0633</v>
      </c>
      <c r="H7" s="4" cm="1">
        <f t="array" ref="H7">_xll.SMILES2LOGP(C7)</f>
        <v>1.35</v>
      </c>
      <c r="I7" s="4" cm="1">
        <f t="array" ref="I7">_xll.SMILES2TPSA(C7)</f>
        <v>49.33</v>
      </c>
      <c r="J7" s="4" cm="1">
        <f t="array" ref="J7">_xll.SMILES2HBD(C7)</f>
        <v>2</v>
      </c>
      <c r="K7" s="4" cm="1">
        <f t="array" ref="K7">_xll.SMILES2HBA(C7)</f>
        <v>3</v>
      </c>
      <c r="L7" s="4" cm="1">
        <f t="array" ref="L7">_xll.SMILES2ROTBONDS(C7)</f>
        <v>2</v>
      </c>
      <c r="M7" s="4" t="str" cm="1">
        <f t="array" ref="M7">_xll.SMILES2LIPINSKI(C7)</f>
        <v>PASS</v>
      </c>
      <c r="N7" s="4" t="s">
        <v>125</v>
      </c>
    </row>
    <row r="8" spans="1:14" ht="85.05" customHeight="1" x14ac:dyDescent="0.3">
      <c r="A8" s="4">
        <v>5</v>
      </c>
      <c r="B8" s="4" t="s">
        <v>126</v>
      </c>
      <c r="C8" s="4" t="s">
        <v>127</v>
      </c>
      <c r="D8" s="4" t="e" cm="1" vm="12">
        <f t="array" ref="D8">_xll.SMILES2IMG(C8)</f>
        <v>#VALUE!</v>
      </c>
      <c r="E8" s="4" t="str" cm="1">
        <f t="array" ref="E8">_xll.SMILES2FORMULA(C8)</f>
        <v>C16H18N2O4S</v>
      </c>
      <c r="F8" s="4" cm="1">
        <f t="array" ref="F8">_xll.SMILES2MW(C8)</f>
        <v>334.39</v>
      </c>
      <c r="G8" s="4" cm="1">
        <f t="array" ref="G8">_xll.SMILES2EXACTMASS(C8)</f>
        <v>334.09870000000001</v>
      </c>
      <c r="H8" s="4" cm="1">
        <f t="array" ref="H8">_xll.SMILES2LOGP(C8)</f>
        <v>0.99</v>
      </c>
      <c r="I8" s="4" cm="1">
        <f t="array" ref="I8">_xll.SMILES2TPSA(C8)</f>
        <v>86.71</v>
      </c>
      <c r="J8" s="4" cm="1">
        <f t="array" ref="J8">_xll.SMILES2HBD(C8)</f>
        <v>2</v>
      </c>
      <c r="K8" s="4" cm="1">
        <f t="array" ref="K8">_xll.SMILES2HBA(C8)</f>
        <v>6</v>
      </c>
      <c r="L8" s="4" cm="1">
        <f t="array" ref="L8">_xll.SMILES2ROTBONDS(C8)</f>
        <v>5</v>
      </c>
      <c r="M8" s="4" t="str" cm="1">
        <f t="array" ref="M8">_xll.SMILES2LIPINSKI(C8)</f>
        <v>PASS</v>
      </c>
      <c r="N8" s="4" t="s">
        <v>128</v>
      </c>
    </row>
    <row r="9" spans="1:14" ht="85.05" customHeight="1" x14ac:dyDescent="0.3">
      <c r="A9" s="4">
        <v>6</v>
      </c>
      <c r="B9" s="4" t="s">
        <v>129</v>
      </c>
      <c r="C9" s="4" t="s">
        <v>130</v>
      </c>
      <c r="D9" s="4" t="e" cm="1" vm="13">
        <f t="array" ref="D9">_xll.SMILES2IMG(C9)</f>
        <v>#VALUE!</v>
      </c>
      <c r="E9" s="4" t="str" cm="1">
        <f t="array" ref="E9">_xll.SMILES2FORMULA(C9)</f>
        <v>C17H19NO3</v>
      </c>
      <c r="F9" s="4" cm="1">
        <f t="array" ref="F9">_xll.SMILES2MW(C9)</f>
        <v>285.33999999999997</v>
      </c>
      <c r="G9" s="4" cm="1">
        <f t="array" ref="G9">_xll.SMILES2EXACTMASS(C9)</f>
        <v>285.13650000000001</v>
      </c>
      <c r="H9" s="4" cm="1">
        <f t="array" ref="H9">_xll.SMILES2LOGP(C9)</f>
        <v>1.33</v>
      </c>
      <c r="I9" s="4" cm="1">
        <f t="array" ref="I9">_xll.SMILES2TPSA(C9)</f>
        <v>52.93</v>
      </c>
      <c r="J9" s="4" cm="1">
        <f t="array" ref="J9">_xll.SMILES2HBD(C9)</f>
        <v>2</v>
      </c>
      <c r="K9" s="4" cm="1">
        <f t="array" ref="K9">_xll.SMILES2HBA(C9)</f>
        <v>4</v>
      </c>
      <c r="L9" s="4" cm="1">
        <f t="array" ref="L9">_xll.SMILES2ROTBONDS(C9)</f>
        <v>0</v>
      </c>
      <c r="M9" s="4" t="str" cm="1">
        <f t="array" ref="M9">_xll.SMILES2LIPINSKI(C9)</f>
        <v>PASS</v>
      </c>
      <c r="N9" s="4" t="s">
        <v>131</v>
      </c>
    </row>
    <row r="10" spans="1:14" ht="85.05" customHeight="1" x14ac:dyDescent="0.3">
      <c r="A10" s="4">
        <v>7</v>
      </c>
      <c r="B10" s="4" t="s">
        <v>132</v>
      </c>
      <c r="C10" s="4" t="s">
        <v>133</v>
      </c>
      <c r="D10" s="4" t="e" cm="1" vm="14">
        <f t="array" ref="D10">_xll.SMILES2IMG(C10)</f>
        <v>#VALUE!</v>
      </c>
      <c r="E10" s="4" t="str" cm="1">
        <f t="array" ref="E10">_xll.SMILES2FORMULA(C10)</f>
        <v>C8H11NO2</v>
      </c>
      <c r="F10" s="4" cm="1">
        <f t="array" ref="F10">_xll.SMILES2MW(C10)</f>
        <v>153.18</v>
      </c>
      <c r="G10" s="4" cm="1">
        <f t="array" ref="G10">_xll.SMILES2EXACTMASS(C10)</f>
        <v>153.07900000000001</v>
      </c>
      <c r="H10" s="4" cm="1">
        <f t="array" ref="H10">_xll.SMILES2LOGP(C10)</f>
        <v>0.73</v>
      </c>
      <c r="I10" s="4" cm="1">
        <f t="array" ref="I10">_xll.SMILES2TPSA(C10)</f>
        <v>66.48</v>
      </c>
      <c r="J10" s="4" cm="1">
        <f t="array" ref="J10">_xll.SMILES2HBD(C10)</f>
        <v>4</v>
      </c>
      <c r="K10" s="4" cm="1">
        <f t="array" ref="K10">_xll.SMILES2HBA(C10)</f>
        <v>3</v>
      </c>
      <c r="L10" s="4" cm="1">
        <f t="array" ref="L10">_xll.SMILES2ROTBONDS(C10)</f>
        <v>2</v>
      </c>
      <c r="M10" s="4" t="str" cm="1">
        <f t="array" ref="M10">_xll.SMILES2LIPINSKI(C10)</f>
        <v>PASS</v>
      </c>
      <c r="N10" s="4" t="s">
        <v>134</v>
      </c>
    </row>
    <row r="11" spans="1:14" ht="85.05" customHeight="1" x14ac:dyDescent="0.3">
      <c r="A11" s="4">
        <v>8</v>
      </c>
      <c r="B11" s="4" t="s">
        <v>135</v>
      </c>
      <c r="C11" s="4" t="s">
        <v>96</v>
      </c>
      <c r="D11" s="4" t="e" cm="1" vm="6">
        <f t="array" ref="D11">_xll.SMILES2IMG(C11)</f>
        <v>#VALUE!</v>
      </c>
      <c r="E11" s="4" t="str" cm="1">
        <f t="array" ref="E11">_xll.SMILES2FORMULA(C11)</f>
        <v>C10H14N2</v>
      </c>
      <c r="F11" s="4" cm="1">
        <f t="array" ref="F11">_xll.SMILES2MW(C11)</f>
        <v>162.24</v>
      </c>
      <c r="G11" s="4" cm="1">
        <f t="array" ref="G11">_xll.SMILES2EXACTMASS(C11)</f>
        <v>162.1157</v>
      </c>
      <c r="H11" s="4" cm="1">
        <f t="array" ref="H11">_xll.SMILES2LOGP(C11)</f>
        <v>1.85</v>
      </c>
      <c r="I11" s="4" cm="1">
        <f t="array" ref="I11">_xll.SMILES2TPSA(C11)</f>
        <v>16.13</v>
      </c>
      <c r="J11" s="4" cm="1">
        <f t="array" ref="J11">_xll.SMILES2HBD(C11)</f>
        <v>0</v>
      </c>
      <c r="K11" s="4" cm="1">
        <f t="array" ref="K11">_xll.SMILES2HBA(C11)</f>
        <v>2</v>
      </c>
      <c r="L11" s="4" cm="1">
        <f t="array" ref="L11">_xll.SMILES2ROTBONDS(C11)</f>
        <v>1</v>
      </c>
      <c r="M11" s="4" t="str" cm="1">
        <f t="array" ref="M11">_xll.SMILES2LIPINSKI(C11)</f>
        <v>PASS</v>
      </c>
      <c r="N11" s="4" t="s">
        <v>136</v>
      </c>
    </row>
    <row r="12" spans="1:14" ht="85.05" customHeight="1" x14ac:dyDescent="0.3">
      <c r="A12" s="4">
        <v>9</v>
      </c>
      <c r="B12" s="4" t="s">
        <v>137</v>
      </c>
      <c r="C12" s="4" t="s">
        <v>138</v>
      </c>
      <c r="D12" s="4" t="e" cm="1" vm="15">
        <f t="array" ref="D12">_xll.SMILES2IMG(C12)</f>
        <v>#VALUE!</v>
      </c>
      <c r="E12" s="4" t="str" cm="1">
        <f t="array" ref="E12">_xll.SMILES2FORMULA(C12)</f>
        <v>C14H21O5</v>
      </c>
      <c r="F12" s="4" cm="1">
        <f t="array" ref="F12">_xll.SMILES2MW(C12)</f>
        <v>269.32</v>
      </c>
      <c r="G12" s="4" t="e" cm="1">
        <f t="array" ref="G12">_xll.SMILES2EXACTMASS(C12)</f>
        <v>#N/A</v>
      </c>
      <c r="H12" s="4" cm="1">
        <f t="array" ref="H12">_xll.SMILES2LOGP(C12)</f>
        <v>0</v>
      </c>
      <c r="I12" s="4" cm="1">
        <f t="array" ref="I12">_xll.SMILES2TPSA(C12)</f>
        <v>0</v>
      </c>
      <c r="J12" s="4" cm="1">
        <f t="array" ref="J12">_xll.SMILES2HBD(C12)</f>
        <v>0</v>
      </c>
      <c r="K12" s="4" cm="1">
        <f t="array" ref="K12">_xll.SMILES2HBA(C12)</f>
        <v>5</v>
      </c>
      <c r="L12" s="4" cm="1">
        <f t="array" ref="L12">_xll.SMILES2ROTBONDS(C12)</f>
        <v>0</v>
      </c>
      <c r="M12" s="4" t="str" cm="1">
        <f t="array" ref="M12">_xll.SMILES2LIPINSKI(C12)</f>
        <v>PASS</v>
      </c>
      <c r="N12" s="4" t="s">
        <v>139</v>
      </c>
    </row>
    <row r="13" spans="1:14" ht="85.05" customHeight="1" x14ac:dyDescent="0.3">
      <c r="A13" s="4">
        <v>10</v>
      </c>
      <c r="B13" s="4" t="s">
        <v>140</v>
      </c>
      <c r="C13" s="4" t="s">
        <v>141</v>
      </c>
      <c r="D13" s="4" t="e" cm="1" vm="16">
        <f t="array" ref="D13">_xll.SMILES2IMG(C13)</f>
        <v>#VALUE!</v>
      </c>
      <c r="E13" s="4" t="str" cm="1">
        <f t="array" ref="E13">_xll.SMILES2FORMULA(C13)</f>
        <v>C27H46O</v>
      </c>
      <c r="F13" s="4" cm="1">
        <f t="array" ref="F13">_xll.SMILES2MW(C13)</f>
        <v>386.66</v>
      </c>
      <c r="G13" s="4" cm="1">
        <f t="array" ref="G13">_xll.SMILES2EXACTMASS(C13)</f>
        <v>386.35489999999999</v>
      </c>
      <c r="H13" s="4" cm="1">
        <f t="array" ref="H13">_xll.SMILES2LOGP(C13)</f>
        <v>7.39</v>
      </c>
      <c r="I13" s="4" cm="1">
        <f t="array" ref="I13">_xll.SMILES2TPSA(C13)</f>
        <v>20.23</v>
      </c>
      <c r="J13" s="4" cm="1">
        <f t="array" ref="J13">_xll.SMILES2HBD(C13)</f>
        <v>1</v>
      </c>
      <c r="K13" s="4" cm="1">
        <f t="array" ref="K13">_xll.SMILES2HBA(C13)</f>
        <v>1</v>
      </c>
      <c r="L13" s="4" cm="1">
        <f t="array" ref="L13">_xll.SMILES2ROTBONDS(C13)</f>
        <v>5</v>
      </c>
      <c r="M13" s="4" t="str" cm="1">
        <f t="array" ref="M13">_xll.SMILES2LIPINSKI(C13)</f>
        <v>FAIL</v>
      </c>
      <c r="N13" s="4" t="s">
        <v>142</v>
      </c>
    </row>
    <row r="14" spans="1:14" ht="85.05" customHeight="1" x14ac:dyDescent="0.3">
      <c r="A14" s="4">
        <v>11</v>
      </c>
      <c r="B14" s="4" t="s">
        <v>143</v>
      </c>
      <c r="C14" s="4" t="s">
        <v>144</v>
      </c>
      <c r="D14" s="4" t="e" cm="1" vm="17">
        <f t="array" ref="D14">_xll.SMILES2IMG(C14)</f>
        <v>#VALUE!</v>
      </c>
      <c r="E14" s="4" t="str" cm="1">
        <f t="array" ref="E14">_xll.SMILES2FORMULA(C14)</f>
        <v>C33H33FNO5</v>
      </c>
      <c r="F14" s="4" cm="1">
        <f t="array" ref="F14">_xll.SMILES2MW(C14)</f>
        <v>542.63</v>
      </c>
      <c r="G14" s="4" cm="1">
        <f t="array" ref="G14">_xll.SMILES2EXACTMASS(C14)</f>
        <v>542.23429999999996</v>
      </c>
      <c r="H14" s="4" cm="1">
        <f t="array" ref="H14">_xll.SMILES2LOGP(C14)</f>
        <v>6.52</v>
      </c>
      <c r="I14" s="4" cm="1">
        <f t="array" ref="I14">_xll.SMILES2TPSA(C14)</f>
        <v>106.86</v>
      </c>
      <c r="J14" s="4" cm="1">
        <f t="array" ref="J14">_xll.SMILES2HBD(C14)</f>
        <v>4</v>
      </c>
      <c r="K14" s="4" cm="1">
        <f t="array" ref="K14">_xll.SMILES2HBA(C14)</f>
        <v>6</v>
      </c>
      <c r="L14" s="4" cm="1">
        <f t="array" ref="L14">_xll.SMILES2ROTBONDS(C14)</f>
        <v>12</v>
      </c>
      <c r="M14" s="4" t="str" cm="1">
        <f t="array" ref="M14">_xll.SMILES2LIPINSKI(C14)</f>
        <v>FAIL</v>
      </c>
      <c r="N14" s="4" t="s">
        <v>145</v>
      </c>
    </row>
    <row r="15" spans="1:14" ht="85.05" customHeight="1" x14ac:dyDescent="0.3">
      <c r="A15" s="4">
        <v>12</v>
      </c>
      <c r="B15" s="4" t="s">
        <v>146</v>
      </c>
      <c r="C15" s="4" t="s">
        <v>147</v>
      </c>
      <c r="D15" s="4" t="e" cm="1" vm="18">
        <f t="array" ref="D15">_xll.SMILES2IMG(C15)</f>
        <v>#VALUE!</v>
      </c>
      <c r="E15" s="4" t="str" cm="1">
        <f t="array" ref="E15">_xll.SMILES2FORMULA(C15)</f>
        <v>C47H51NO14</v>
      </c>
      <c r="F15" s="4" cm="1">
        <f t="array" ref="F15">_xll.SMILES2MW(C15)</f>
        <v>853.92</v>
      </c>
      <c r="G15" s="4" cm="1">
        <f t="array" ref="G15">_xll.SMILES2EXACTMASS(C15)</f>
        <v>853.33100000000002</v>
      </c>
      <c r="H15" s="4" cm="1">
        <f t="array" ref="H15">_xll.SMILES2LOGP(C15)</f>
        <v>3.74</v>
      </c>
      <c r="I15" s="4" cm="1">
        <f t="array" ref="I15">_xll.SMILES2TPSA(C15)</f>
        <v>221.29</v>
      </c>
      <c r="J15" s="4" cm="1">
        <f t="array" ref="J15">_xll.SMILES2HBD(C15)</f>
        <v>4</v>
      </c>
      <c r="K15" s="4" cm="1">
        <f t="array" ref="K15">_xll.SMILES2HBA(C15)</f>
        <v>15</v>
      </c>
      <c r="L15" s="4" cm="1">
        <f t="array" ref="L15">_xll.SMILES2ROTBONDS(C15)</f>
        <v>15</v>
      </c>
      <c r="M15" s="4" t="str" cm="1">
        <f t="array" ref="M15">_xll.SMILES2LIPINSKI(C15)</f>
        <v>FAIL</v>
      </c>
      <c r="N15" s="4" t="s">
        <v>148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D241-429C-4E60-AA2C-A4896CA4A74F}">
  <sheetPr>
    <tabColor rgb="FF800080"/>
  </sheetPr>
  <dimension ref="A1:H14"/>
  <sheetViews>
    <sheetView workbookViewId="0"/>
  </sheetViews>
  <sheetFormatPr defaultRowHeight="13.5" x14ac:dyDescent="0.3"/>
  <cols>
    <col min="1" max="1" width="6.64453125" customWidth="1"/>
    <col min="2" max="2" width="18.64453125" customWidth="1"/>
    <col min="3" max="3" width="30.64453125" customWidth="1"/>
    <col min="4" max="4" width="24.64453125" customWidth="1"/>
    <col min="5" max="5" width="28.64453125" customWidth="1"/>
    <col min="6" max="6" width="24.64453125" customWidth="1"/>
    <col min="7" max="8" width="48.64453125" customWidth="1"/>
  </cols>
  <sheetData>
    <row r="1" spans="1:8" ht="32" customHeight="1" x14ac:dyDescent="0.3">
      <c r="A1" s="12" t="s">
        <v>164</v>
      </c>
      <c r="B1" s="12"/>
      <c r="C1" s="12"/>
      <c r="D1" s="12"/>
      <c r="E1" s="12"/>
      <c r="F1" s="12"/>
      <c r="G1" s="12"/>
      <c r="H1" s="12"/>
    </row>
    <row r="2" spans="1:8" ht="22.05" customHeight="1" x14ac:dyDescent="0.3">
      <c r="A2" s="2" t="s">
        <v>165</v>
      </c>
      <c r="B2" s="2"/>
      <c r="C2" s="2"/>
      <c r="D2" s="2"/>
      <c r="E2" s="2"/>
      <c r="F2" s="2"/>
      <c r="G2" s="2"/>
      <c r="H2" s="2"/>
    </row>
    <row r="3" spans="1:8" ht="24" customHeight="1" x14ac:dyDescent="0.45">
      <c r="A3" s="14" t="s">
        <v>200</v>
      </c>
      <c r="B3" s="15" t="s">
        <v>90</v>
      </c>
      <c r="C3" s="16" t="s">
        <v>206</v>
      </c>
      <c r="E3" s="14" t="s">
        <v>207</v>
      </c>
      <c r="F3" s="17" t="s">
        <v>19</v>
      </c>
      <c r="G3" s="16" t="s">
        <v>213</v>
      </c>
    </row>
    <row r="4" spans="1:8" ht="26" customHeight="1" x14ac:dyDescent="0.3">
      <c r="A4" s="13" t="s">
        <v>2</v>
      </c>
      <c r="B4" s="13" t="s">
        <v>166</v>
      </c>
      <c r="C4" s="13" t="s">
        <v>167</v>
      </c>
      <c r="D4" s="13" t="s">
        <v>168</v>
      </c>
      <c r="E4" s="13" t="s">
        <v>169</v>
      </c>
      <c r="F4" s="13" t="s">
        <v>170</v>
      </c>
      <c r="G4" s="13" t="s">
        <v>62</v>
      </c>
      <c r="H4" s="13" t="s">
        <v>171</v>
      </c>
    </row>
    <row r="5" spans="1:8" ht="85.05" customHeight="1" x14ac:dyDescent="0.3">
      <c r="A5" s="4">
        <v>1</v>
      </c>
      <c r="B5" s="4" t="s">
        <v>10</v>
      </c>
      <c r="C5" s="4" t="s">
        <v>19</v>
      </c>
      <c r="D5" s="4" t="b" cm="1">
        <f t="array" ref="D5">_xll.SMILES.MATCH(C5, $B$3)</f>
        <v>1</v>
      </c>
      <c r="E5" s="4" t="e" cm="1" vm="19">
        <f t="array" ref="E5">_xll.SMILES2IMG(C5, , "hl:" &amp; $B$3)</f>
        <v>#VALUE!</v>
      </c>
      <c r="F5" s="4" cm="1">
        <f t="array" ref="F5">_xll.SMILES.SIMILARITY(C5, $F$3)</f>
        <v>1</v>
      </c>
      <c r="G5" s="5" t="s">
        <v>172</v>
      </c>
      <c r="H5" s="4" t="s">
        <v>173</v>
      </c>
    </row>
    <row r="6" spans="1:8" ht="85.05" customHeight="1" x14ac:dyDescent="0.3">
      <c r="A6" s="4">
        <v>2</v>
      </c>
      <c r="B6" s="4" t="s">
        <v>70</v>
      </c>
      <c r="C6" s="4" t="s">
        <v>122</v>
      </c>
      <c r="D6" s="4" t="b" cm="1">
        <f t="array" ref="D6">_xll.SMILES.MATCH(C6, $B$3)</f>
        <v>1</v>
      </c>
      <c r="E6" s="4" t="e" cm="1" vm="20">
        <f t="array" ref="E6">_xll.SMILES2IMG(C6, , "hl:" &amp; $B$3)</f>
        <v>#VALUE!</v>
      </c>
      <c r="F6" s="4" cm="1">
        <f t="array" ref="F6">_xll.SMILES.SIMILARITY(C6, $F$3)</f>
        <v>0.31030000000000002</v>
      </c>
      <c r="G6" s="5" t="s">
        <v>174</v>
      </c>
      <c r="H6" s="4" t="s">
        <v>175</v>
      </c>
    </row>
    <row r="7" spans="1:8" ht="85.05" customHeight="1" x14ac:dyDescent="0.3">
      <c r="A7" s="4">
        <v>3</v>
      </c>
      <c r="B7" s="4" t="s">
        <v>176</v>
      </c>
      <c r="C7" s="4" t="s">
        <v>90</v>
      </c>
      <c r="D7" s="4" t="b" cm="1">
        <f t="array" ref="D7">_xll.SMILES.MATCH(C7, $B$3)</f>
        <v>1</v>
      </c>
      <c r="E7" s="4" t="e" cm="1" vm="21">
        <f t="array" ref="E7">_xll.SMILES2IMG(C7, , "hl:" &amp; $B$3)</f>
        <v>#VALUE!</v>
      </c>
      <c r="F7" s="4" cm="1">
        <f t="array" ref="F7">_xll.SMILES.SIMILARITY(C7, $F$3)</f>
        <v>0.13950000000000001</v>
      </c>
      <c r="G7" s="5" t="s">
        <v>177</v>
      </c>
      <c r="H7" s="4" t="s">
        <v>178</v>
      </c>
    </row>
    <row r="8" spans="1:8" ht="85.05" customHeight="1" x14ac:dyDescent="0.3">
      <c r="A8" s="4">
        <v>4</v>
      </c>
      <c r="B8" s="4" t="s">
        <v>179</v>
      </c>
      <c r="C8" s="4" t="s">
        <v>180</v>
      </c>
      <c r="D8" s="4" t="b" cm="1">
        <f t="array" ref="D8">_xll.SMILES.MATCH(C8, $B$3)</f>
        <v>0</v>
      </c>
      <c r="E8" s="4" t="e" cm="1" vm="22">
        <f t="array" ref="E8">_xll.SMILES2IMG(C8, , "hl:" &amp; $B$3)</f>
        <v>#VALUE!</v>
      </c>
      <c r="F8" s="4" cm="1">
        <f t="array" ref="F8">_xll.SMILES.SIMILARITY(C8, $F$3)</f>
        <v>0.1154</v>
      </c>
      <c r="G8" s="5" t="s">
        <v>181</v>
      </c>
      <c r="H8" s="4" t="s">
        <v>182</v>
      </c>
    </row>
    <row r="9" spans="1:8" ht="85.05" customHeight="1" x14ac:dyDescent="0.3">
      <c r="A9" s="4">
        <v>5</v>
      </c>
      <c r="B9" s="4" t="s">
        <v>183</v>
      </c>
      <c r="C9" s="4" t="s">
        <v>93</v>
      </c>
      <c r="D9" s="4" t="b" cm="1">
        <f t="array" ref="D9">_xll.SMILES.MATCH(C9, $B$3)</f>
        <v>0</v>
      </c>
      <c r="E9" s="4" t="e" cm="1" vm="5">
        <f t="array" ref="E9">_xll.SMILES2IMG(C9, , "hl:" &amp; $B$3)</f>
        <v>#VALUE!</v>
      </c>
      <c r="F9" s="4" cm="1">
        <f t="array" ref="F9">_xll.SMILES.SIMILARITY(C9, $F$3)</f>
        <v>0.1163</v>
      </c>
      <c r="G9" s="5" t="s">
        <v>184</v>
      </c>
      <c r="H9" s="4" t="s">
        <v>185</v>
      </c>
    </row>
    <row r="10" spans="1:8" ht="85.05" customHeight="1" x14ac:dyDescent="0.3">
      <c r="A10" s="4">
        <v>6</v>
      </c>
      <c r="B10" s="4" t="s">
        <v>73</v>
      </c>
      <c r="C10" s="4" t="s">
        <v>105</v>
      </c>
      <c r="D10" s="4" t="b" cm="1">
        <f t="array" ref="D10">_xll.SMILES.MATCH(C10, $B$3)</f>
        <v>0</v>
      </c>
      <c r="E10" s="4" t="e" cm="1" vm="10">
        <f t="array" ref="E10">_xll.SMILES2IMG(C10, , "hl:" &amp; $B$3)</f>
        <v>#VALUE!</v>
      </c>
      <c r="F10" s="4" cm="1">
        <f t="array" ref="F10">_xll.SMILES.SIMILARITY(C10, $F$3)</f>
        <v>0.1031</v>
      </c>
      <c r="G10" s="5" t="s">
        <v>186</v>
      </c>
      <c r="H10" s="4" t="s">
        <v>187</v>
      </c>
    </row>
    <row r="11" spans="1:8" ht="85.05" customHeight="1" x14ac:dyDescent="0.3">
      <c r="A11" s="4">
        <v>7</v>
      </c>
      <c r="B11" s="4" t="s">
        <v>76</v>
      </c>
      <c r="C11" s="4" t="s">
        <v>55</v>
      </c>
      <c r="D11" s="4" t="b" cm="1">
        <f t="array" ref="D11">_xll.SMILES.MATCH(C11, $B$3)</f>
        <v>1</v>
      </c>
      <c r="E11" s="4" t="e" cm="1" vm="23">
        <f t="array" ref="E11">_xll.SMILES2IMG(C11, , "hl:" &amp; $B$3)</f>
        <v>#VALUE!</v>
      </c>
      <c r="F11" s="4" cm="1">
        <f t="array" ref="F11">_xll.SMILES.SIMILARITY(C11, $F$3)</f>
        <v>0.2787</v>
      </c>
      <c r="G11" s="5" t="s">
        <v>188</v>
      </c>
      <c r="H11" s="4" t="s">
        <v>189</v>
      </c>
    </row>
    <row r="12" spans="1:8" ht="85.05" customHeight="1" x14ac:dyDescent="0.3">
      <c r="A12" s="4">
        <v>8</v>
      </c>
      <c r="B12" s="4" t="s">
        <v>135</v>
      </c>
      <c r="C12" s="4" t="s">
        <v>96</v>
      </c>
      <c r="D12" s="4" t="b" cm="1">
        <f t="array" ref="D12">_xll.SMILES.MATCH(C12, $B$3)</f>
        <v>0</v>
      </c>
      <c r="E12" s="4" t="e" cm="1" vm="6">
        <f t="array" ref="E12">_xll.SMILES2IMG(C12, , "hl:" &amp; $B$3)</f>
        <v>#VALUE!</v>
      </c>
      <c r="F12" s="4" cm="1">
        <f t="array" ref="F12">_xll.SMILES.SIMILARITY(C12, $F$3)</f>
        <v>0.1842</v>
      </c>
      <c r="G12" s="5" t="s">
        <v>190</v>
      </c>
      <c r="H12" s="4" t="s">
        <v>191</v>
      </c>
    </row>
    <row r="13" spans="1:8" ht="85.05" customHeight="1" x14ac:dyDescent="0.3">
      <c r="A13" s="4">
        <v>9</v>
      </c>
      <c r="B13" s="4" t="s">
        <v>192</v>
      </c>
      <c r="C13" s="4" t="s">
        <v>193</v>
      </c>
      <c r="D13" s="4" t="b" cm="1">
        <f t="array" ref="D13">_xll.SMILES.MATCH(C13, $B$3)</f>
        <v>1</v>
      </c>
      <c r="E13" s="4" t="e" cm="1" vm="24">
        <f t="array" ref="E13">_xll.SMILES2IMG(C13, , "hl:" &amp; $B$3)</f>
        <v>#VALUE!</v>
      </c>
      <c r="F13" s="4" cm="1">
        <f t="array" ref="F13">_xll.SMILES.SIMILARITY(C13, $F$3)</f>
        <v>0.57450000000000001</v>
      </c>
      <c r="G13" s="5" t="s">
        <v>194</v>
      </c>
      <c r="H13" s="4" t="s">
        <v>195</v>
      </c>
    </row>
    <row r="14" spans="1:8" ht="85.05" customHeight="1" x14ac:dyDescent="0.3">
      <c r="A14" s="4">
        <v>10</v>
      </c>
      <c r="B14" s="4" t="s">
        <v>137</v>
      </c>
      <c r="C14" s="4" t="s">
        <v>138</v>
      </c>
      <c r="D14" s="4" t="b" cm="1">
        <f t="array" ref="D14">_xll.SMILES.MATCH(C14, $B$3)</f>
        <v>0</v>
      </c>
      <c r="E14" s="4" t="e" cm="1" vm="15">
        <f t="array" ref="E14">_xll.SMILES2IMG(C14, , "hl:" &amp; $B$3)</f>
        <v>#VALUE!</v>
      </c>
      <c r="F14" s="4" cm="1">
        <f t="array" ref="F14">_xll.SMILES.SIMILARITY(C14, $F$3)</f>
        <v>0.18290000000000001</v>
      </c>
      <c r="G14" s="5" t="s">
        <v>196</v>
      </c>
      <c r="H14" s="4" t="s">
        <v>197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C6F7-DE0F-4B80-9CF5-6C2BBDF5A07E}">
  <sheetPr>
    <tabColor rgb="FFFF8000"/>
  </sheetPr>
  <dimension ref="A1:G20"/>
  <sheetViews>
    <sheetView workbookViewId="0"/>
  </sheetViews>
  <sheetFormatPr defaultRowHeight="13.5" x14ac:dyDescent="0.3"/>
  <cols>
    <col min="1" max="1" width="6.64453125" customWidth="1"/>
    <col min="2" max="2" width="26.64453125" customWidth="1"/>
    <col min="3" max="3" width="12.64453125" customWidth="1"/>
    <col min="4" max="4" width="28.64453125" customWidth="1"/>
    <col min="5" max="5" width="56.64453125" customWidth="1"/>
    <col min="6" max="6" width="28.64453125" customWidth="1"/>
    <col min="7" max="7" width="48.64453125" customWidth="1"/>
  </cols>
  <sheetData>
    <row r="1" spans="1:7" ht="32" customHeight="1" x14ac:dyDescent="0.3">
      <c r="A1" s="18" t="s">
        <v>214</v>
      </c>
      <c r="B1" s="18"/>
      <c r="C1" s="18"/>
      <c r="D1" s="18"/>
      <c r="E1" s="18"/>
      <c r="F1" s="18"/>
      <c r="G1" s="18"/>
    </row>
    <row r="2" spans="1:7" ht="22.05" customHeight="1" x14ac:dyDescent="0.3">
      <c r="A2" s="2" t="s">
        <v>215</v>
      </c>
      <c r="B2" s="2"/>
      <c r="C2" s="2"/>
      <c r="D2" s="2"/>
      <c r="E2" s="2"/>
      <c r="F2" s="2"/>
      <c r="G2" s="2"/>
    </row>
    <row r="3" spans="1:7" ht="24" customHeight="1" x14ac:dyDescent="0.45">
      <c r="A3" s="14" t="s">
        <v>289</v>
      </c>
      <c r="B3" s="17" t="s">
        <v>19</v>
      </c>
      <c r="C3" s="16" t="s">
        <v>292</v>
      </c>
    </row>
    <row r="4" spans="1:7" ht="26" customHeight="1" x14ac:dyDescent="0.3">
      <c r="A4" s="19" t="s">
        <v>2</v>
      </c>
      <c r="B4" s="19" t="s">
        <v>216</v>
      </c>
      <c r="C4" s="19" t="s">
        <v>217</v>
      </c>
      <c r="D4" s="19" t="s">
        <v>218</v>
      </c>
      <c r="E4" s="19" t="s">
        <v>219</v>
      </c>
      <c r="F4" s="19" t="s">
        <v>220</v>
      </c>
      <c r="G4" s="19" t="s">
        <v>221</v>
      </c>
    </row>
    <row r="5" spans="1:7" ht="85.05" customHeight="1" x14ac:dyDescent="0.3">
      <c r="A5" s="4">
        <v>1</v>
      </c>
      <c r="B5" s="4" t="s">
        <v>222</v>
      </c>
      <c r="C5" s="4" t="s">
        <v>223</v>
      </c>
      <c r="D5" s="4" t="s">
        <v>224</v>
      </c>
      <c r="E5" s="5" t="s">
        <v>225</v>
      </c>
      <c r="F5" s="4" t="e" cm="1" vm="1">
        <f t="array" ref="F5">_xll.SMILES2IMG($B$3)</f>
        <v>#VALUE!</v>
      </c>
      <c r="G5" s="4" t="s">
        <v>226</v>
      </c>
    </row>
    <row r="6" spans="1:7" ht="85.05" customHeight="1" x14ac:dyDescent="0.3">
      <c r="A6" s="4">
        <v>2</v>
      </c>
      <c r="B6" s="4" t="s">
        <v>227</v>
      </c>
      <c r="C6" s="4" t="s">
        <v>223</v>
      </c>
      <c r="D6" s="4" t="s">
        <v>228</v>
      </c>
      <c r="E6" s="5" t="s">
        <v>229</v>
      </c>
      <c r="F6" s="4" t="e" cm="1" vm="25">
        <f t="array" ref="F6">_xll.SMILES2IMG($B$3, "white")</f>
        <v>#VALUE!</v>
      </c>
      <c r="G6" s="4" t="s">
        <v>230</v>
      </c>
    </row>
    <row r="7" spans="1:7" ht="85.05" customHeight="1" x14ac:dyDescent="0.3">
      <c r="A7" s="4">
        <v>3</v>
      </c>
      <c r="B7" s="4" t="s">
        <v>231</v>
      </c>
      <c r="C7" s="4" t="s">
        <v>223</v>
      </c>
      <c r="D7" s="4" t="s">
        <v>232</v>
      </c>
      <c r="E7" s="5" t="s">
        <v>233</v>
      </c>
      <c r="F7" s="4" t="e" cm="1" vm="3">
        <f t="array" ref="F7">_xll.SMILES2IMG($B$3, , "bw")</f>
        <v>#VALUE!</v>
      </c>
      <c r="G7" s="4" t="s">
        <v>234</v>
      </c>
    </row>
    <row r="8" spans="1:7" ht="85.05" customHeight="1" x14ac:dyDescent="0.3">
      <c r="A8" s="4">
        <v>4</v>
      </c>
      <c r="B8" s="4" t="s">
        <v>235</v>
      </c>
      <c r="C8" s="4" t="s">
        <v>223</v>
      </c>
      <c r="D8" s="4" t="s">
        <v>236</v>
      </c>
      <c r="E8" s="5" t="s">
        <v>237</v>
      </c>
      <c r="F8" s="4" t="e" cm="1" vm="26">
        <f t="array" ref="F8">_xll.SMILES2IMG($B$3, , "num")</f>
        <v>#VALUE!</v>
      </c>
      <c r="G8" s="4" t="s">
        <v>238</v>
      </c>
    </row>
    <row r="9" spans="1:7" ht="85.05" customHeight="1" x14ac:dyDescent="0.3">
      <c r="A9" s="4">
        <v>5</v>
      </c>
      <c r="B9" s="4" t="s">
        <v>239</v>
      </c>
      <c r="C9" s="4" t="s">
        <v>223</v>
      </c>
      <c r="D9" s="4" t="s">
        <v>240</v>
      </c>
      <c r="E9" s="5" t="s">
        <v>241</v>
      </c>
      <c r="F9" s="4" t="e" cm="1" vm="1">
        <f t="array" ref="F9">_xll.SMILES2IMG($B$3, , "stereo")</f>
        <v>#VALUE!</v>
      </c>
      <c r="G9" s="4" t="s">
        <v>242</v>
      </c>
    </row>
    <row r="10" spans="1:7" ht="85.05" customHeight="1" x14ac:dyDescent="0.3">
      <c r="A10" s="4">
        <v>6</v>
      </c>
      <c r="B10" s="4" t="s">
        <v>243</v>
      </c>
      <c r="C10" s="4" t="s">
        <v>223</v>
      </c>
      <c r="D10" s="4" t="s">
        <v>244</v>
      </c>
      <c r="E10" s="5" t="s">
        <v>245</v>
      </c>
      <c r="F10" s="4" t="e" cm="1" vm="27">
        <f t="array" ref="F10">_xll.SMILES2IMG($B$3, , "h")</f>
        <v>#VALUE!</v>
      </c>
      <c r="G10" s="4" t="s">
        <v>246</v>
      </c>
    </row>
    <row r="11" spans="1:7" ht="85.05" customHeight="1" x14ac:dyDescent="0.3">
      <c r="A11" s="4">
        <v>7</v>
      </c>
      <c r="B11" s="4" t="s">
        <v>247</v>
      </c>
      <c r="C11" s="4" t="s">
        <v>223</v>
      </c>
      <c r="D11" s="4" t="s">
        <v>248</v>
      </c>
      <c r="E11" s="5" t="s">
        <v>249</v>
      </c>
      <c r="F11" s="4" t="e" cm="1" vm="28">
        <f t="array" ref="F11">_xll.SMILES2IMG($B$3, , "all-c")</f>
        <v>#VALUE!</v>
      </c>
      <c r="G11" s="4" t="s">
        <v>250</v>
      </c>
    </row>
    <row r="12" spans="1:7" ht="85.05" customHeight="1" x14ac:dyDescent="0.3">
      <c r="A12" s="4">
        <v>8</v>
      </c>
      <c r="B12" s="4" t="s">
        <v>251</v>
      </c>
      <c r="C12" s="4" t="s">
        <v>223</v>
      </c>
      <c r="D12" s="4" t="s">
        <v>252</v>
      </c>
      <c r="E12" s="5" t="s">
        <v>253</v>
      </c>
      <c r="F12" s="4" t="e" cm="1" vm="29">
        <f t="array" ref="F12">_xll.SMILES2IMG($B$3, "#1e1e1e", "white")</f>
        <v>#VALUE!</v>
      </c>
      <c r="G12" s="4" t="s">
        <v>254</v>
      </c>
    </row>
    <row r="13" spans="1:7" ht="85.05" customHeight="1" x14ac:dyDescent="0.3">
      <c r="A13" s="4">
        <v>9</v>
      </c>
      <c r="B13" s="4" t="s">
        <v>255</v>
      </c>
      <c r="C13" s="4" t="s">
        <v>223</v>
      </c>
      <c r="D13" s="4" t="s">
        <v>256</v>
      </c>
      <c r="E13" s="5" t="s">
        <v>257</v>
      </c>
      <c r="F13" s="4" t="e" cm="1" vm="30">
        <f t="array" ref="F13">_xll.SMILES2IMG($B$3, "aliceblue", "ink=#003366")</f>
        <v>#VALUE!</v>
      </c>
      <c r="G13" s="4" t="s">
        <v>258</v>
      </c>
    </row>
    <row r="14" spans="1:7" ht="85.05" customHeight="1" x14ac:dyDescent="0.3">
      <c r="A14" s="4">
        <v>10</v>
      </c>
      <c r="B14" s="4" t="s">
        <v>259</v>
      </c>
      <c r="C14" s="4" t="s">
        <v>260</v>
      </c>
      <c r="D14" s="4" t="s">
        <v>261</v>
      </c>
      <c r="E14" s="5" t="s">
        <v>262</v>
      </c>
      <c r="F14" s="4" t="e" cm="1" vm="31">
        <f t="array" ref="F14">_xll.SMILES2IMG($B$3, , "bw num")</f>
        <v>#VALUE!</v>
      </c>
      <c r="G14" s="4" t="s">
        <v>263</v>
      </c>
    </row>
    <row r="15" spans="1:7" ht="85.05" customHeight="1" x14ac:dyDescent="0.3">
      <c r="A15" s="4">
        <v>11</v>
      </c>
      <c r="B15" s="4" t="s">
        <v>264</v>
      </c>
      <c r="C15" s="4" t="s">
        <v>265</v>
      </c>
      <c r="D15" s="4" t="s">
        <v>266</v>
      </c>
      <c r="E15" s="5" t="s">
        <v>267</v>
      </c>
      <c r="F15" s="4" t="e" cm="1" vm="3">
        <f t="array" ref="F15">_xll.SMILES2IMG($B$3, , "bw|stereo")</f>
        <v>#VALUE!</v>
      </c>
      <c r="G15" s="4" t="s">
        <v>268</v>
      </c>
    </row>
    <row r="16" spans="1:7" ht="85.05" customHeight="1" x14ac:dyDescent="0.3">
      <c r="A16" s="4">
        <v>12</v>
      </c>
      <c r="B16" s="4" t="s">
        <v>269</v>
      </c>
      <c r="C16" s="4" t="s">
        <v>223</v>
      </c>
      <c r="D16" s="4" t="s">
        <v>270</v>
      </c>
      <c r="E16" s="5" t="s">
        <v>271</v>
      </c>
      <c r="F16" s="4" t="e" cm="1" vm="32">
        <f t="array" ref="F16">_xll.SMILES2IMG($B$3, , , "rot90")</f>
        <v>#VALUE!</v>
      </c>
      <c r="G16" s="4" t="s">
        <v>272</v>
      </c>
    </row>
    <row r="17" spans="1:7" ht="85.05" customHeight="1" x14ac:dyDescent="0.3">
      <c r="A17" s="4">
        <v>13</v>
      </c>
      <c r="B17" s="4" t="s">
        <v>273</v>
      </c>
      <c r="C17" s="4" t="s">
        <v>223</v>
      </c>
      <c r="D17" s="4" t="s">
        <v>274</v>
      </c>
      <c r="E17" s="5" t="s">
        <v>275</v>
      </c>
      <c r="F17" s="4" t="e" cm="1" vm="33">
        <f t="array" ref="F17">_xll.SMILES2IMG($B$3, , , "rot180")</f>
        <v>#VALUE!</v>
      </c>
      <c r="G17" s="4" t="s">
        <v>276</v>
      </c>
    </row>
    <row r="18" spans="1:7" ht="85.05" customHeight="1" x14ac:dyDescent="0.3">
      <c r="A18" s="4">
        <v>14</v>
      </c>
      <c r="B18" s="4" t="s">
        <v>277</v>
      </c>
      <c r="C18" s="4" t="s">
        <v>223</v>
      </c>
      <c r="D18" s="4" t="s">
        <v>278</v>
      </c>
      <c r="E18" s="5" t="s">
        <v>279</v>
      </c>
      <c r="F18" s="4" t="e" cm="1" vm="34">
        <f t="array" ref="F18">_xll.SMILES2IMG($B$3, , , "flip")</f>
        <v>#VALUE!</v>
      </c>
      <c r="G18" s="4" t="s">
        <v>280</v>
      </c>
    </row>
    <row r="19" spans="1:7" ht="85.05" customHeight="1" x14ac:dyDescent="0.3">
      <c r="A19" s="4">
        <v>15</v>
      </c>
      <c r="B19" s="4" t="s">
        <v>281</v>
      </c>
      <c r="C19" s="4" t="s">
        <v>260</v>
      </c>
      <c r="D19" s="4" t="s">
        <v>282</v>
      </c>
      <c r="E19" s="5" t="s">
        <v>283</v>
      </c>
      <c r="F19" s="4" t="e" cm="1" vm="35">
        <f t="array" ref="F19">_xll.SMILES2IMG($B$3, , , "flip rot90")</f>
        <v>#VALUE!</v>
      </c>
      <c r="G19" s="4" t="s">
        <v>284</v>
      </c>
    </row>
    <row r="20" spans="1:7" ht="85.05" customHeight="1" x14ac:dyDescent="0.3">
      <c r="A20" s="4">
        <v>16</v>
      </c>
      <c r="B20" s="4" t="s">
        <v>285</v>
      </c>
      <c r="C20" s="4" t="s">
        <v>260</v>
      </c>
      <c r="D20" s="4" t="s">
        <v>286</v>
      </c>
      <c r="E20" s="5" t="s">
        <v>287</v>
      </c>
      <c r="F20" s="4" t="e" cm="1" vm="36">
        <f t="array" ref="F20">_xll.SMILES2IMG($B$3, "white", "bw num stereo h all-c", "flip rot90")</f>
        <v>#VALUE!</v>
      </c>
      <c r="G20" s="4" t="s">
        <v>288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D7F9-D842-4252-8D0C-8341C55E7C89}">
  <sheetPr>
    <tabColor rgb="FF207050"/>
  </sheetPr>
  <dimension ref="A1:F8"/>
  <sheetViews>
    <sheetView workbookViewId="0"/>
  </sheetViews>
  <sheetFormatPr defaultRowHeight="13.5" x14ac:dyDescent="0.3"/>
  <cols>
    <col min="1" max="1" width="6.64453125" customWidth="1"/>
    <col min="2" max="2" width="28.64453125" customWidth="1"/>
    <col min="3" max="3" width="32.64453125" customWidth="1"/>
    <col min="4" max="4" width="28.64453125" customWidth="1"/>
    <col min="5" max="5" width="32.64453125" customWidth="1"/>
    <col min="6" max="6" width="52.64453125" customWidth="1"/>
  </cols>
  <sheetData>
    <row r="1" spans="1:6" ht="32" customHeight="1" x14ac:dyDescent="0.3">
      <c r="A1" s="20" t="s">
        <v>293</v>
      </c>
      <c r="B1" s="20"/>
      <c r="C1" s="20"/>
      <c r="D1" s="20"/>
      <c r="E1" s="20"/>
      <c r="F1" s="20"/>
    </row>
    <row r="2" spans="1:6" ht="22.05" customHeight="1" x14ac:dyDescent="0.3">
      <c r="A2" s="2" t="s">
        <v>302</v>
      </c>
      <c r="B2" s="2"/>
      <c r="C2" s="2"/>
      <c r="D2" s="2"/>
      <c r="E2" s="2"/>
      <c r="F2" s="2"/>
    </row>
    <row r="3" spans="1:6" ht="26" customHeight="1" x14ac:dyDescent="0.3">
      <c r="A3" s="21" t="s">
        <v>2</v>
      </c>
      <c r="B3" s="21" t="s">
        <v>306</v>
      </c>
      <c r="C3" s="21" t="s">
        <v>307</v>
      </c>
      <c r="D3" s="21" t="s">
        <v>5</v>
      </c>
      <c r="E3" s="21" t="s">
        <v>308</v>
      </c>
      <c r="F3" s="21" t="s">
        <v>309</v>
      </c>
    </row>
    <row r="4" spans="1:6" ht="85.05" customHeight="1" x14ac:dyDescent="0.3">
      <c r="A4" s="4">
        <v>1</v>
      </c>
      <c r="B4" s="4" t="s">
        <v>310</v>
      </c>
      <c r="C4" s="4" t="s">
        <v>311</v>
      </c>
      <c r="D4" s="5" t="s">
        <v>312</v>
      </c>
      <c r="E4" s="4" t="e" cm="1" vm="37">
        <f t="array" ref="E4">_xll.KET2IMG(C4)</f>
        <v>#VALUE!</v>
      </c>
      <c r="F4" s="4" t="s">
        <v>313</v>
      </c>
    </row>
    <row r="5" spans="1:6" ht="85.05" customHeight="1" x14ac:dyDescent="0.3">
      <c r="A5" s="4">
        <v>2</v>
      </c>
      <c r="B5" s="4" t="s">
        <v>314</v>
      </c>
      <c r="C5" s="4" t="s">
        <v>315</v>
      </c>
      <c r="D5" s="5" t="s">
        <v>316</v>
      </c>
      <c r="E5" s="4" t="e" cm="1" vm="38">
        <f t="array" ref="E5">_xll.KET2IMG(C5)</f>
        <v>#VALUE!</v>
      </c>
      <c r="F5" s="4" t="s">
        <v>317</v>
      </c>
    </row>
    <row r="6" spans="1:6" ht="85.05" customHeight="1" x14ac:dyDescent="0.3">
      <c r="A6" s="4">
        <v>3</v>
      </c>
      <c r="B6" s="4" t="s">
        <v>318</v>
      </c>
      <c r="C6" s="4" t="s">
        <v>19</v>
      </c>
      <c r="D6" s="5" t="s">
        <v>20</v>
      </c>
      <c r="E6" s="4" t="e" cm="1" vm="1">
        <f t="array" ref="E6">_xll.SMILES2IMG(C6)</f>
        <v>#VALUE!</v>
      </c>
      <c r="F6" s="4" t="s">
        <v>319</v>
      </c>
    </row>
    <row r="7" spans="1:6" ht="85.05" customHeight="1" x14ac:dyDescent="0.3">
      <c r="A7" s="4">
        <v>4</v>
      </c>
      <c r="B7" s="4" t="s">
        <v>320</v>
      </c>
      <c r="C7" s="4" t="s">
        <v>55</v>
      </c>
      <c r="D7" s="5" t="s">
        <v>321</v>
      </c>
      <c r="E7" s="4" t="e" cm="1" vm="11">
        <f t="array" ref="E7">_xll.SMILES2IMG(C7)</f>
        <v>#VALUE!</v>
      </c>
      <c r="F7" s="4" t="s">
        <v>322</v>
      </c>
    </row>
    <row r="8" spans="1:6" ht="85.05" customHeight="1" x14ac:dyDescent="0.3">
      <c r="A8" s="4">
        <v>5</v>
      </c>
      <c r="B8" s="4" t="s">
        <v>323</v>
      </c>
      <c r="C8" s="4" t="s">
        <v>105</v>
      </c>
      <c r="D8" s="5" t="s">
        <v>324</v>
      </c>
      <c r="E8" s="4" t="e" cm="1" vm="10">
        <f t="array" ref="E8">_xll.SMILES2IMG(C8)</f>
        <v>#VALUE!</v>
      </c>
      <c r="F8" s="4" t="s">
        <v>325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C7B5-AEC2-4A12-9A68-A6253D412A02}">
  <sheetPr>
    <tabColor rgb="FF1B4D1B"/>
  </sheetPr>
  <dimension ref="A1:H13"/>
  <sheetViews>
    <sheetView workbookViewId="0"/>
  </sheetViews>
  <sheetFormatPr defaultRowHeight="13.5" x14ac:dyDescent="0.3"/>
  <cols>
    <col min="1" max="1" width="6.64453125" customWidth="1"/>
    <col min="2" max="2" width="16.64453125" customWidth="1"/>
    <col min="3" max="3" width="20.64453125" customWidth="1"/>
    <col min="4" max="4" width="30.64453125" customWidth="1"/>
    <col min="5" max="5" width="24.64453125" customWidth="1"/>
    <col min="6" max="6" width="48.64453125" customWidth="1"/>
    <col min="7" max="7" width="28.64453125" customWidth="1"/>
    <col min="8" max="8" width="48.64453125" customWidth="1"/>
  </cols>
  <sheetData>
    <row r="1" spans="1:8" ht="32" customHeight="1" x14ac:dyDescent="0.3">
      <c r="A1" s="10" t="s">
        <v>328</v>
      </c>
      <c r="B1" s="10"/>
      <c r="C1" s="10"/>
      <c r="D1" s="10"/>
      <c r="E1" s="10"/>
      <c r="F1" s="10"/>
      <c r="G1" s="10"/>
      <c r="H1" s="10"/>
    </row>
    <row r="2" spans="1:8" ht="22.05" customHeight="1" x14ac:dyDescent="0.3">
      <c r="A2" s="2" t="s">
        <v>329</v>
      </c>
      <c r="B2" s="2"/>
      <c r="C2" s="2"/>
      <c r="D2" s="2"/>
      <c r="E2" s="2"/>
      <c r="F2" s="2"/>
      <c r="G2" s="2"/>
      <c r="H2" s="2"/>
    </row>
    <row r="3" spans="1:8" ht="26" customHeight="1" x14ac:dyDescent="0.3">
      <c r="A3" s="11" t="s">
        <v>2</v>
      </c>
      <c r="B3" s="11" t="s">
        <v>60</v>
      </c>
      <c r="C3" s="11" t="s">
        <v>166</v>
      </c>
      <c r="D3" s="11" t="s">
        <v>330</v>
      </c>
      <c r="E3" s="11" t="s">
        <v>331</v>
      </c>
      <c r="F3" s="11" t="s">
        <v>219</v>
      </c>
      <c r="G3" s="11" t="s">
        <v>332</v>
      </c>
      <c r="H3" s="11" t="s">
        <v>333</v>
      </c>
    </row>
    <row r="4" spans="1:8" ht="85.05" customHeight="1" x14ac:dyDescent="0.3">
      <c r="A4" s="4">
        <v>1</v>
      </c>
      <c r="B4" s="4" t="s">
        <v>334</v>
      </c>
      <c r="C4" s="4" t="s">
        <v>183</v>
      </c>
      <c r="D4" s="4" t="s">
        <v>93</v>
      </c>
      <c r="E4" s="4" t="s">
        <v>335</v>
      </c>
      <c r="F4" s="5" t="s">
        <v>336</v>
      </c>
      <c r="G4" s="4" t="str" cm="1">
        <f t="array" ref="G4">_xll.SMILES2IMG.FLOAT(D4)</f>
        <v/>
      </c>
      <c r="H4" s="4" t="s">
        <v>337</v>
      </c>
    </row>
    <row r="5" spans="1:8" ht="85.05" customHeight="1" x14ac:dyDescent="0.3">
      <c r="A5" s="4">
        <v>2</v>
      </c>
      <c r="B5" s="4" t="s">
        <v>334</v>
      </c>
      <c r="C5" s="4" t="s">
        <v>73</v>
      </c>
      <c r="D5" s="4" t="s">
        <v>105</v>
      </c>
      <c r="E5" s="4" t="s">
        <v>335</v>
      </c>
      <c r="F5" s="5" t="s">
        <v>338</v>
      </c>
      <c r="G5" s="4" t="str" cm="1">
        <f t="array" ref="G5">_xll.SMILES2IMG.FLOAT(D5)</f>
        <v/>
      </c>
      <c r="H5" s="4" t="s">
        <v>339</v>
      </c>
    </row>
    <row r="6" spans="1:8" ht="85.05" customHeight="1" x14ac:dyDescent="0.3">
      <c r="A6" s="4">
        <v>3</v>
      </c>
      <c r="B6" s="4" t="s">
        <v>340</v>
      </c>
      <c r="C6" s="4" t="s">
        <v>76</v>
      </c>
      <c r="D6" s="4" t="s">
        <v>55</v>
      </c>
      <c r="E6" s="4" t="s">
        <v>228</v>
      </c>
      <c r="F6" s="5" t="s">
        <v>341</v>
      </c>
      <c r="G6" s="4" t="str" cm="1">
        <f t="array" ref="G6">_xll.SMILES2IMG.FLOAT(D6, "white")</f>
        <v/>
      </c>
      <c r="H6" s="4" t="s">
        <v>342</v>
      </c>
    </row>
    <row r="7" spans="1:8" ht="85.05" customHeight="1" x14ac:dyDescent="0.3">
      <c r="A7" s="4">
        <v>4</v>
      </c>
      <c r="B7" s="4" t="s">
        <v>343</v>
      </c>
      <c r="C7" s="4" t="s">
        <v>10</v>
      </c>
      <c r="D7" s="4" t="s">
        <v>19</v>
      </c>
      <c r="E7" s="4" t="s">
        <v>232</v>
      </c>
      <c r="F7" s="5" t="s">
        <v>344</v>
      </c>
      <c r="G7" s="4" t="str" cm="1">
        <f t="array" ref="G7">_xll.SMILES2IMG.FLOAT(D7, , "bw")</f>
        <v/>
      </c>
      <c r="H7" s="4" t="s">
        <v>345</v>
      </c>
    </row>
    <row r="8" spans="1:8" ht="85.05" customHeight="1" x14ac:dyDescent="0.3">
      <c r="A8" s="4">
        <v>5</v>
      </c>
      <c r="B8" s="4" t="s">
        <v>343</v>
      </c>
      <c r="C8" s="4" t="s">
        <v>346</v>
      </c>
      <c r="D8" s="4" t="s">
        <v>347</v>
      </c>
      <c r="E8" s="4" t="s">
        <v>240</v>
      </c>
      <c r="F8" s="5" t="s">
        <v>348</v>
      </c>
      <c r="G8" s="4" t="str" cm="1">
        <f t="array" ref="G8">_xll.SMILES2IMG.FLOAT(D8, , "stereo")</f>
        <v/>
      </c>
      <c r="H8" s="4" t="s">
        <v>349</v>
      </c>
    </row>
    <row r="9" spans="1:8" ht="85.05" customHeight="1" x14ac:dyDescent="0.3">
      <c r="A9" s="4">
        <v>6</v>
      </c>
      <c r="B9" s="4" t="s">
        <v>343</v>
      </c>
      <c r="C9" s="4" t="s">
        <v>183</v>
      </c>
      <c r="D9" s="4" t="s">
        <v>93</v>
      </c>
      <c r="E9" s="4" t="s">
        <v>244</v>
      </c>
      <c r="F9" s="5" t="s">
        <v>350</v>
      </c>
      <c r="G9" s="4" t="str" cm="1">
        <f t="array" ref="G9">_xll.SMILES2IMG.FLOAT(D9, , "h")</f>
        <v/>
      </c>
      <c r="H9" s="4" t="s">
        <v>351</v>
      </c>
    </row>
    <row r="10" spans="1:8" ht="85.05" customHeight="1" x14ac:dyDescent="0.3">
      <c r="A10" s="4">
        <v>7</v>
      </c>
      <c r="B10" s="4" t="s">
        <v>352</v>
      </c>
      <c r="C10" s="4" t="s">
        <v>10</v>
      </c>
      <c r="D10" s="4" t="s">
        <v>19</v>
      </c>
      <c r="E10" s="4" t="s">
        <v>261</v>
      </c>
      <c r="F10" s="5" t="s">
        <v>353</v>
      </c>
      <c r="G10" s="4" t="str" cm="1">
        <f t="array" ref="G10">_xll.SMILES2IMG.FLOAT(D10, , "bw num")</f>
        <v/>
      </c>
      <c r="H10" s="4" t="s">
        <v>354</v>
      </c>
    </row>
    <row r="11" spans="1:8" ht="85.05" customHeight="1" x14ac:dyDescent="0.3">
      <c r="A11" s="4">
        <v>8</v>
      </c>
      <c r="B11" s="4" t="s">
        <v>355</v>
      </c>
      <c r="C11" s="4" t="s">
        <v>135</v>
      </c>
      <c r="D11" s="4" t="s">
        <v>96</v>
      </c>
      <c r="E11" s="4" t="s">
        <v>356</v>
      </c>
      <c r="F11" s="5" t="s">
        <v>357</v>
      </c>
      <c r="G11" s="4" t="str" cm="1">
        <f t="array" ref="G11">_xll.SMILES2IMG.FLOAT(D11, "#1e1e1e", "white stereo")</f>
        <v/>
      </c>
      <c r="H11" s="4" t="s">
        <v>358</v>
      </c>
    </row>
    <row r="12" spans="1:8" ht="85.05" customHeight="1" x14ac:dyDescent="0.3">
      <c r="A12" s="4">
        <v>9</v>
      </c>
      <c r="B12" s="4" t="s">
        <v>359</v>
      </c>
      <c r="C12" s="4" t="s">
        <v>135</v>
      </c>
      <c r="D12" s="4" t="s">
        <v>96</v>
      </c>
      <c r="E12" s="4" t="s">
        <v>278</v>
      </c>
      <c r="F12" s="5" t="s">
        <v>360</v>
      </c>
      <c r="G12" s="4" t="str" cm="1">
        <f t="array" ref="G12">_xll.SMILES2IMG.FLOAT(D12, , , "flip")</f>
        <v/>
      </c>
      <c r="H12" s="4" t="s">
        <v>361</v>
      </c>
    </row>
    <row r="13" spans="1:8" ht="85.05" customHeight="1" x14ac:dyDescent="0.3">
      <c r="A13" s="4">
        <v>10</v>
      </c>
      <c r="B13" s="4" t="s">
        <v>362</v>
      </c>
      <c r="C13" s="4" t="s">
        <v>10</v>
      </c>
      <c r="D13" s="4" t="s">
        <v>19</v>
      </c>
      <c r="E13" s="4" t="s">
        <v>363</v>
      </c>
      <c r="F13" s="5" t="s">
        <v>364</v>
      </c>
      <c r="G13" s="4" t="str" cm="1">
        <f t="array" ref="G13">_xll.SMILES2IMG.FLOAT(D13, "white", "bw num stereo h all-c", "rot90")</f>
        <v/>
      </c>
      <c r="H13" s="4" t="s">
        <v>365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D88F-AC95-40AB-B2B5-45EA41ECBA59}">
  <sheetPr>
    <tabColor rgb="FF000080"/>
  </sheetPr>
  <dimension ref="A1:F13"/>
  <sheetViews>
    <sheetView workbookViewId="0"/>
  </sheetViews>
  <sheetFormatPr defaultRowHeight="13.5" x14ac:dyDescent="0.3"/>
  <cols>
    <col min="1" max="1" width="6.64453125" customWidth="1"/>
    <col min="2" max="2" width="24.64453125" customWidth="1"/>
    <col min="3" max="3" width="28.64453125" customWidth="1"/>
    <col min="4" max="5" width="22.64453125" customWidth="1"/>
    <col min="6" max="6" width="54.64453125" customWidth="1"/>
  </cols>
  <sheetData>
    <row r="1" spans="1:6" ht="32" customHeight="1" x14ac:dyDescent="0.3">
      <c r="A1" s="22" t="s">
        <v>366</v>
      </c>
      <c r="B1" s="22"/>
      <c r="C1" s="22"/>
      <c r="D1" s="22"/>
      <c r="E1" s="22"/>
      <c r="F1" s="22"/>
    </row>
    <row r="2" spans="1:6" ht="22.05" customHeight="1" x14ac:dyDescent="0.3">
      <c r="A2" s="2" t="s">
        <v>367</v>
      </c>
      <c r="B2" s="2"/>
      <c r="C2" s="2"/>
      <c r="D2" s="2"/>
      <c r="E2" s="2"/>
      <c r="F2" s="2"/>
    </row>
    <row r="3" spans="1:6" ht="26" customHeight="1" x14ac:dyDescent="0.3">
      <c r="A3" s="23" t="s">
        <v>2</v>
      </c>
      <c r="B3" s="23" t="s">
        <v>368</v>
      </c>
      <c r="C3" s="23" t="s">
        <v>369</v>
      </c>
      <c r="D3" s="23" t="s">
        <v>370</v>
      </c>
      <c r="E3" s="23" t="s">
        <v>371</v>
      </c>
      <c r="F3" s="23" t="s">
        <v>372</v>
      </c>
    </row>
    <row r="4" spans="1:6" ht="50" customHeight="1" x14ac:dyDescent="0.3">
      <c r="A4" s="4">
        <v>1</v>
      </c>
      <c r="B4" s="4" t="s">
        <v>373</v>
      </c>
      <c r="C4" s="4" t="s">
        <v>374</v>
      </c>
      <c r="D4" s="4" t="s">
        <v>375</v>
      </c>
      <c r="E4" s="4" t="s">
        <v>376</v>
      </c>
      <c r="F4" s="4" t="s">
        <v>377</v>
      </c>
    </row>
    <row r="5" spans="1:6" ht="50" customHeight="1" x14ac:dyDescent="0.3">
      <c r="A5" s="4">
        <v>2</v>
      </c>
      <c r="B5" s="4" t="s">
        <v>378</v>
      </c>
      <c r="C5" s="4" t="s">
        <v>379</v>
      </c>
      <c r="D5" s="4" t="s">
        <v>380</v>
      </c>
      <c r="E5" s="4" t="s">
        <v>376</v>
      </c>
      <c r="F5" s="4" t="s">
        <v>381</v>
      </c>
    </row>
    <row r="6" spans="1:6" ht="50" customHeight="1" x14ac:dyDescent="0.3">
      <c r="A6" s="4">
        <v>3</v>
      </c>
      <c r="B6" s="4" t="s">
        <v>382</v>
      </c>
      <c r="C6" s="4" t="s">
        <v>383</v>
      </c>
      <c r="D6" s="4" t="s">
        <v>380</v>
      </c>
      <c r="E6" s="4" t="s">
        <v>376</v>
      </c>
      <c r="F6" s="4" t="s">
        <v>384</v>
      </c>
    </row>
    <row r="7" spans="1:6" ht="50" customHeight="1" x14ac:dyDescent="0.3">
      <c r="A7" s="4">
        <v>4</v>
      </c>
      <c r="B7" s="4" t="s">
        <v>385</v>
      </c>
      <c r="C7" s="4" t="s">
        <v>386</v>
      </c>
      <c r="D7" s="4" t="s">
        <v>380</v>
      </c>
      <c r="E7" s="4" t="s">
        <v>376</v>
      </c>
      <c r="F7" s="4" t="s">
        <v>387</v>
      </c>
    </row>
    <row r="8" spans="1:6" ht="50" customHeight="1" x14ac:dyDescent="0.3">
      <c r="A8" s="4">
        <v>5</v>
      </c>
      <c r="B8" s="4" t="s">
        <v>388</v>
      </c>
      <c r="C8" s="4" t="s">
        <v>389</v>
      </c>
      <c r="D8" s="4" t="s">
        <v>390</v>
      </c>
      <c r="E8" s="4" t="s">
        <v>376</v>
      </c>
      <c r="F8" s="4" t="s">
        <v>391</v>
      </c>
    </row>
    <row r="9" spans="1:6" ht="50" customHeight="1" x14ac:dyDescent="0.3">
      <c r="A9" s="4">
        <v>6</v>
      </c>
      <c r="B9" s="4" t="s">
        <v>392</v>
      </c>
      <c r="C9" s="4" t="s">
        <v>393</v>
      </c>
      <c r="D9" s="4" t="s">
        <v>394</v>
      </c>
      <c r="E9" s="4" t="s">
        <v>376</v>
      </c>
      <c r="F9" s="4" t="s">
        <v>395</v>
      </c>
    </row>
    <row r="10" spans="1:6" ht="50" customHeight="1" x14ac:dyDescent="0.3">
      <c r="A10" s="4">
        <v>7</v>
      </c>
      <c r="B10" s="4" t="s">
        <v>396</v>
      </c>
      <c r="C10" s="4" t="s">
        <v>397</v>
      </c>
      <c r="D10" s="4" t="s">
        <v>394</v>
      </c>
      <c r="E10" s="4" t="s">
        <v>376</v>
      </c>
      <c r="F10" s="4" t="s">
        <v>398</v>
      </c>
    </row>
    <row r="11" spans="1:6" ht="50" customHeight="1" x14ac:dyDescent="0.3">
      <c r="A11" s="4">
        <v>8</v>
      </c>
      <c r="B11" s="4" t="s">
        <v>399</v>
      </c>
      <c r="C11" s="4" t="s">
        <v>400</v>
      </c>
      <c r="D11" s="4" t="s">
        <v>401</v>
      </c>
      <c r="E11" s="4" t="s">
        <v>376</v>
      </c>
      <c r="F11" s="4" t="s">
        <v>402</v>
      </c>
    </row>
    <row r="12" spans="1:6" ht="50" customHeight="1" x14ac:dyDescent="0.3">
      <c r="A12" s="4">
        <v>9</v>
      </c>
      <c r="B12" s="4" t="s">
        <v>403</v>
      </c>
      <c r="C12" s="4" t="s">
        <v>404</v>
      </c>
      <c r="D12" s="4" t="s">
        <v>405</v>
      </c>
      <c r="E12" s="4" t="s">
        <v>406</v>
      </c>
      <c r="F12" s="4" t="s">
        <v>407</v>
      </c>
    </row>
    <row r="13" spans="1:6" ht="50" customHeight="1" x14ac:dyDescent="0.3">
      <c r="A13" s="4">
        <v>10</v>
      </c>
      <c r="B13" s="4" t="s">
        <v>408</v>
      </c>
      <c r="C13" s="4" t="s">
        <v>409</v>
      </c>
      <c r="D13" s="4" t="s">
        <v>410</v>
      </c>
      <c r="E13" s="4" t="s">
        <v>376</v>
      </c>
      <c r="F13" s="4" t="s">
        <v>411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F648-2AB3-4944-BC35-F4C18ED5646D}">
  <dimension ref="A1:C47"/>
  <sheetViews>
    <sheetView workbookViewId="0"/>
  </sheetViews>
  <sheetFormatPr defaultRowHeight="13.5" x14ac:dyDescent="0.3"/>
  <cols>
    <col min="3" max="3" width="8.9375" style="6"/>
  </cols>
  <sheetData>
    <row r="1" spans="1:3" x14ac:dyDescent="0.3">
      <c r="A1" t="s">
        <v>50</v>
      </c>
      <c r="B1" t="s">
        <v>51</v>
      </c>
      <c r="C1" s="6" t="s">
        <v>52</v>
      </c>
    </row>
    <row r="2" spans="1:3" x14ac:dyDescent="0.3">
      <c r="A2" s="7" t="e" vm="39">
        <v>#VALUE!</v>
      </c>
      <c r="B2" t="s">
        <v>53</v>
      </c>
      <c r="C2" s="6" t="s">
        <v>19</v>
      </c>
    </row>
    <row r="3" spans="1:3" x14ac:dyDescent="0.3">
      <c r="A3" s="7" t="e" vm="40">
        <v>#VALUE!</v>
      </c>
      <c r="B3" t="s">
        <v>54</v>
      </c>
      <c r="C3" s="6" t="s">
        <v>55</v>
      </c>
    </row>
    <row r="4" spans="1:3" x14ac:dyDescent="0.3">
      <c r="A4" s="7" t="e" vm="39">
        <v>#VALUE!</v>
      </c>
      <c r="B4" t="s">
        <v>56</v>
      </c>
      <c r="C4" s="6" t="s">
        <v>19</v>
      </c>
    </row>
    <row r="5" spans="1:3" x14ac:dyDescent="0.3">
      <c r="A5" s="7" t="e" vm="41">
        <v>#VALUE!</v>
      </c>
      <c r="B5" t="s">
        <v>57</v>
      </c>
      <c r="C5" s="6" t="s">
        <v>19</v>
      </c>
    </row>
    <row r="6" spans="1:3" x14ac:dyDescent="0.3">
      <c r="A6" s="7" t="e" vm="42">
        <v>#VALUE!</v>
      </c>
      <c r="B6" t="s">
        <v>149</v>
      </c>
      <c r="C6" s="6" t="s">
        <v>93</v>
      </c>
    </row>
    <row r="7" spans="1:3" x14ac:dyDescent="0.3">
      <c r="A7" s="7" t="e" vm="43">
        <v>#VALUE!</v>
      </c>
      <c r="B7" t="s">
        <v>150</v>
      </c>
      <c r="C7" s="6" t="s">
        <v>96</v>
      </c>
    </row>
    <row r="8" spans="1:3" x14ac:dyDescent="0.3">
      <c r="A8" s="7" t="e" vm="44">
        <v>#VALUE!</v>
      </c>
      <c r="B8" t="s">
        <v>151</v>
      </c>
      <c r="C8" s="6" t="s">
        <v>103</v>
      </c>
    </row>
    <row r="9" spans="1:3" x14ac:dyDescent="0.3">
      <c r="A9" s="7" t="e" vm="45">
        <v>#VALUE!</v>
      </c>
      <c r="B9" t="s">
        <v>152</v>
      </c>
      <c r="C9" s="6" t="s">
        <v>99</v>
      </c>
    </row>
    <row r="10" spans="1:3" x14ac:dyDescent="0.3">
      <c r="A10" s="7" t="e" vm="46">
        <v>#VALUE!</v>
      </c>
      <c r="B10" t="s">
        <v>153</v>
      </c>
      <c r="C10" s="6" t="s">
        <v>90</v>
      </c>
    </row>
    <row r="11" spans="1:3" x14ac:dyDescent="0.3">
      <c r="A11" s="7" t="e" vm="47">
        <v>#VALUE!</v>
      </c>
      <c r="B11" t="s">
        <v>154</v>
      </c>
      <c r="C11" s="6" t="s">
        <v>122</v>
      </c>
    </row>
    <row r="12" spans="1:3" x14ac:dyDescent="0.3">
      <c r="A12" s="7" t="e" vm="48">
        <v>#VALUE!</v>
      </c>
      <c r="B12" t="s">
        <v>155</v>
      </c>
      <c r="C12" s="6" t="s">
        <v>105</v>
      </c>
    </row>
    <row r="13" spans="1:3" x14ac:dyDescent="0.3">
      <c r="A13" s="7" t="e" vm="49">
        <v>#VALUE!</v>
      </c>
      <c r="B13" t="s">
        <v>156</v>
      </c>
      <c r="C13" s="6" t="s">
        <v>55</v>
      </c>
    </row>
    <row r="14" spans="1:3" x14ac:dyDescent="0.3">
      <c r="A14" s="7" t="e" vm="50">
        <v>#VALUE!</v>
      </c>
      <c r="B14" t="s">
        <v>157</v>
      </c>
      <c r="C14" s="6" t="s">
        <v>147</v>
      </c>
    </row>
    <row r="15" spans="1:3" x14ac:dyDescent="0.3">
      <c r="A15" s="7" t="e" vm="51">
        <v>#VALUE!</v>
      </c>
      <c r="B15" t="s">
        <v>158</v>
      </c>
      <c r="C15" s="6" t="s">
        <v>127</v>
      </c>
    </row>
    <row r="16" spans="1:3" x14ac:dyDescent="0.3">
      <c r="A16" s="7" t="e" vm="52">
        <v>#VALUE!</v>
      </c>
      <c r="B16" t="s">
        <v>159</v>
      </c>
      <c r="C16" s="6" t="s">
        <v>130</v>
      </c>
    </row>
    <row r="17" spans="1:3" x14ac:dyDescent="0.3">
      <c r="A17" s="7" t="e" vm="53">
        <v>#VALUE!</v>
      </c>
      <c r="B17" t="s">
        <v>160</v>
      </c>
      <c r="C17" s="6" t="s">
        <v>133</v>
      </c>
    </row>
    <row r="18" spans="1:3" x14ac:dyDescent="0.3">
      <c r="A18" s="7" t="e" vm="54">
        <v>#VALUE!</v>
      </c>
      <c r="B18" t="s">
        <v>161</v>
      </c>
      <c r="C18" s="6" t="s">
        <v>138</v>
      </c>
    </row>
    <row r="19" spans="1:3" x14ac:dyDescent="0.3">
      <c r="A19" s="7" t="e" vm="55">
        <v>#VALUE!</v>
      </c>
      <c r="B19" t="s">
        <v>162</v>
      </c>
      <c r="C19" s="6" t="s">
        <v>141</v>
      </c>
    </row>
    <row r="20" spans="1:3" x14ac:dyDescent="0.3">
      <c r="A20" s="7" t="e" vm="56">
        <v>#VALUE!</v>
      </c>
      <c r="B20" t="s">
        <v>163</v>
      </c>
      <c r="C20" s="6" t="s">
        <v>144</v>
      </c>
    </row>
    <row r="21" spans="1:3" x14ac:dyDescent="0.3">
      <c r="A21" s="7" t="e" vm="57">
        <v>#VALUE!</v>
      </c>
      <c r="B21" t="s">
        <v>198</v>
      </c>
      <c r="C21" s="6" t="s">
        <v>180</v>
      </c>
    </row>
    <row r="22" spans="1:3" x14ac:dyDescent="0.3">
      <c r="A22" s="7" t="e" vm="58">
        <v>#VALUE!</v>
      </c>
      <c r="B22" t="s">
        <v>199</v>
      </c>
      <c r="C22" s="6" t="s">
        <v>193</v>
      </c>
    </row>
    <row r="23" spans="1:3" x14ac:dyDescent="0.3">
      <c r="A23" s="7" t="e" vm="59">
        <v>#VALUE!</v>
      </c>
      <c r="B23" t="s">
        <v>201</v>
      </c>
      <c r="C23" s="6" t="s">
        <v>193</v>
      </c>
    </row>
    <row r="24" spans="1:3" x14ac:dyDescent="0.3">
      <c r="A24" s="7" t="e" vm="57">
        <v>#VALUE!</v>
      </c>
      <c r="B24" t="s">
        <v>202</v>
      </c>
      <c r="C24" s="6" t="s">
        <v>180</v>
      </c>
    </row>
    <row r="25" spans="1:3" x14ac:dyDescent="0.3">
      <c r="A25" s="7" t="e" vm="60">
        <v>#VALUE!</v>
      </c>
      <c r="B25" t="s">
        <v>203</v>
      </c>
      <c r="C25" s="6" t="s">
        <v>19</v>
      </c>
    </row>
    <row r="26" spans="1:3" x14ac:dyDescent="0.3">
      <c r="A26" s="7" t="e" vm="61">
        <v>#VALUE!</v>
      </c>
      <c r="B26" t="s">
        <v>204</v>
      </c>
      <c r="C26" s="6" t="s">
        <v>122</v>
      </c>
    </row>
    <row r="27" spans="1:3" x14ac:dyDescent="0.3">
      <c r="A27" s="7" t="e" vm="62">
        <v>#VALUE!</v>
      </c>
      <c r="B27" t="s">
        <v>205</v>
      </c>
      <c r="C27" s="6" t="s">
        <v>90</v>
      </c>
    </row>
    <row r="28" spans="1:3" x14ac:dyDescent="0.3">
      <c r="A28" s="7" t="e" vm="42">
        <v>#VALUE!</v>
      </c>
      <c r="B28" t="s">
        <v>208</v>
      </c>
      <c r="C28" s="6" t="s">
        <v>93</v>
      </c>
    </row>
    <row r="29" spans="1:3" x14ac:dyDescent="0.3">
      <c r="A29" s="7" t="e" vm="48">
        <v>#VALUE!</v>
      </c>
      <c r="B29" t="s">
        <v>209</v>
      </c>
      <c r="C29" s="6" t="s">
        <v>105</v>
      </c>
    </row>
    <row r="30" spans="1:3" x14ac:dyDescent="0.3">
      <c r="A30" s="7" t="e" vm="63">
        <v>#VALUE!</v>
      </c>
      <c r="B30" t="s">
        <v>210</v>
      </c>
      <c r="C30" s="6" t="s">
        <v>55</v>
      </c>
    </row>
    <row r="31" spans="1:3" x14ac:dyDescent="0.3">
      <c r="A31" s="7" t="e" vm="43">
        <v>#VALUE!</v>
      </c>
      <c r="B31" t="s">
        <v>211</v>
      </c>
      <c r="C31" s="6" t="s">
        <v>96</v>
      </c>
    </row>
    <row r="32" spans="1:3" x14ac:dyDescent="0.3">
      <c r="A32" s="7" t="e" vm="54">
        <v>#VALUE!</v>
      </c>
      <c r="B32" t="s">
        <v>212</v>
      </c>
      <c r="C32" s="6" t="s">
        <v>138</v>
      </c>
    </row>
    <row r="33" spans="1:3" x14ac:dyDescent="0.3">
      <c r="A33" s="7" t="e" vm="64">
        <v>#VALUE!</v>
      </c>
      <c r="B33" t="s">
        <v>290</v>
      </c>
      <c r="C33" s="6" t="s">
        <v>19</v>
      </c>
    </row>
    <row r="34" spans="1:3" x14ac:dyDescent="0.3">
      <c r="A34" s="7" t="e" vm="65">
        <v>#VALUE!</v>
      </c>
      <c r="B34" t="s">
        <v>291</v>
      </c>
      <c r="C34" s="6" t="s">
        <v>19</v>
      </c>
    </row>
    <row r="35" spans="1:3" x14ac:dyDescent="0.3">
      <c r="A35" s="7" t="e" vm="66">
        <v>#VALUE!</v>
      </c>
      <c r="B35" t="s">
        <v>294</v>
      </c>
      <c r="C35" s="6" t="s">
        <v>19</v>
      </c>
    </row>
    <row r="36" spans="1:3" x14ac:dyDescent="0.3">
      <c r="A36" s="7" t="e" vm="67">
        <v>#VALUE!</v>
      </c>
      <c r="B36" t="s">
        <v>295</v>
      </c>
      <c r="C36" s="6" t="s">
        <v>19</v>
      </c>
    </row>
    <row r="37" spans="1:3" x14ac:dyDescent="0.3">
      <c r="A37" s="7" t="e" vm="68">
        <v>#VALUE!</v>
      </c>
      <c r="B37" t="s">
        <v>296</v>
      </c>
      <c r="C37" s="6" t="s">
        <v>19</v>
      </c>
    </row>
    <row r="38" spans="1:3" x14ac:dyDescent="0.3">
      <c r="A38" s="7" t="e" vm="69">
        <v>#VALUE!</v>
      </c>
      <c r="B38" t="s">
        <v>297</v>
      </c>
      <c r="C38" s="6" t="s">
        <v>19</v>
      </c>
    </row>
    <row r="39" spans="1:3" x14ac:dyDescent="0.3">
      <c r="A39" s="7" t="e" vm="70">
        <v>#VALUE!</v>
      </c>
      <c r="B39" t="s">
        <v>298</v>
      </c>
      <c r="C39" s="6" t="s">
        <v>19</v>
      </c>
    </row>
    <row r="40" spans="1:3" x14ac:dyDescent="0.3">
      <c r="A40" s="7" t="e" vm="41">
        <v>#VALUE!</v>
      </c>
      <c r="B40" t="s">
        <v>299</v>
      </c>
      <c r="C40" s="6" t="s">
        <v>19</v>
      </c>
    </row>
    <row r="41" spans="1:3" x14ac:dyDescent="0.3">
      <c r="A41" s="7" t="e" vm="71">
        <v>#VALUE!</v>
      </c>
      <c r="B41" t="s">
        <v>300</v>
      </c>
      <c r="C41" s="6" t="s">
        <v>19</v>
      </c>
    </row>
    <row r="42" spans="1:3" x14ac:dyDescent="0.3">
      <c r="A42" s="7" t="e" vm="72">
        <v>#VALUE!</v>
      </c>
      <c r="B42" t="s">
        <v>301</v>
      </c>
      <c r="C42" s="6" t="s">
        <v>19</v>
      </c>
    </row>
    <row r="43" spans="1:3" x14ac:dyDescent="0.3">
      <c r="A43" s="7" t="e" vm="73">
        <v>#VALUE!</v>
      </c>
      <c r="B43" t="s">
        <v>303</v>
      </c>
      <c r="C43" s="6" t="s">
        <v>19</v>
      </c>
    </row>
    <row r="44" spans="1:3" x14ac:dyDescent="0.3">
      <c r="A44" s="7" t="e" vm="74">
        <v>#VALUE!</v>
      </c>
      <c r="B44" t="s">
        <v>304</v>
      </c>
      <c r="C44" s="6" t="s">
        <v>19</v>
      </c>
    </row>
    <row r="45" spans="1:3" x14ac:dyDescent="0.3">
      <c r="A45" s="7" t="e" vm="75">
        <v>#VALUE!</v>
      </c>
      <c r="B45" t="s">
        <v>305</v>
      </c>
      <c r="C45" s="6" t="s">
        <v>19</v>
      </c>
    </row>
    <row r="46" spans="1:3" x14ac:dyDescent="0.3">
      <c r="A46" s="7" t="e" vm="76">
        <v>#VALUE!</v>
      </c>
      <c r="B46" t="s">
        <v>326</v>
      </c>
      <c r="C46" s="6" t="s">
        <v>311</v>
      </c>
    </row>
    <row r="47" spans="1:3" x14ac:dyDescent="0.3">
      <c r="A47" s="7" t="e" vm="77">
        <v>#VALUE!</v>
      </c>
      <c r="B47" t="s">
        <v>327</v>
      </c>
      <c r="C47" s="6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0. Quick Guide</vt:lpstr>
      <vt:lpstr>1. Structure to Image</vt:lpstr>
      <vt:lpstr>2. Molecular Properties</vt:lpstr>
      <vt:lpstr>3. Substructure &amp; Similarity</vt:lpstr>
      <vt:lpstr>4. Drawing Styles &amp; Options</vt:lpstr>
      <vt:lpstr>5. Reactions &amp; KET Canvas</vt:lpstr>
      <vt:lpstr>6. Legacy Excel (.FLOAT)</vt:lpstr>
      <vt:lpstr>7. 3D &amp; Ribbon 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주호 김</dc:creator>
  <cp:lastModifiedBy>주호 김</cp:lastModifiedBy>
  <dcterms:created xsi:type="dcterms:W3CDTF">2026-10-21T12:16:26Z</dcterms:created>
  <dcterms:modified xsi:type="dcterms:W3CDTF">2026-10-21T12:17:34Z</dcterms:modified>
</cp:coreProperties>
</file>